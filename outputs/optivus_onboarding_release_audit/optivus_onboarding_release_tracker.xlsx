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3bd97ad0654c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21b28990c2ef47c3"/>
    <x:sheet xmlns:r="http://schemas.openxmlformats.org/officeDocument/2006/relationships" name="Issue Mapping" sheetId="2" r:id="R23afee15e89b4032"/>
    <x:sheet xmlns:r="http://schemas.openxmlformats.org/officeDocument/2006/relationships" name="Baseline" sheetId="3" r:id="R13faa4266b034644"/>
    <x:sheet xmlns:r="http://schemas.openxmlformats.org/officeDocument/2006/relationships" name="Findings" sheetId="4" r:id="R2c2d65992ed2496b"/>
  </x:sheets>
</x:workbook>
</file>

<file path=xl/sharedStrings.xml><?xml version="1.0" encoding="utf-8"?>
<x:sst xmlns:x="http://schemas.openxmlformats.org/spreadsheetml/2006/main">
  <x:si>
    <x:t xml:space="preserve">PROJECT PROFILE</x:t>
  </x:si>
  <x:si>
    <x:t xml:space="preserve">LAUNCH PULSE</x:t>
  </x:si>
  <x:si>
    <x:t xml:space="preserve">Project Title</x:t>
  </x:si>
  <x:si>
    <x:t xml:space="preserve">Project Manager</x:t>
  </x:si>
  <x:si>
    <x:t xml:space="preserve">TOTAL TASKS</x:t>
  </x:si>
  <x:si>
    <x:t xml:space="preserve">COMPLETE</x:t>
  </x:si>
  <x:si>
    <x:t xml:space="preserve">IN PROGRESS</x:t>
  </x:si>
  <x:si>
    <x:t xml:space="preserve">AT RISK</x:t>
  </x:si>
  <x:si>
    <x:t xml:space="preserve">P0 TASKS</x:t>
  </x:si>
  <x:si>
    <x:t xml:space="preserve">Company Name</x:t>
  </x:si>
  <x:si>
    <x:t xml:space="preserve">Timeline Start</x:t>
  </x:si>
  <x:si>
    <x:t xml:space="preserve">WORKSTREAM PLAN</x:t>
  </x:si>
  <x:si>
    <x:t xml:space="preserve">GANTT — 20-WEEK VIEW</x:t>
  </x:si>
  <x:si>
    <x:t xml:space="preserve">Workstream</x:t>
  </x:si>
  <x:si>
    <x:t xml:space="preserve">Task</x:t>
  </x:si>
  <x:si>
    <x:t xml:space="preserve">Owner</x:t>
  </x:si>
  <x:si>
    <x:t xml:space="preserve">Status</x:t>
  </x:si>
  <x:si>
    <x:t xml:space="preserve">Priority</x:t>
  </x:si>
  <x:si>
    <x:t xml:space="preserve">Start Date</x:t>
  </x:si>
  <x:si>
    <x:t xml:space="preserve">End Date</x:t>
  </x:si>
  <x:si>
    <x:t xml:space="preserve">Days</x:t>
  </x:si>
</x:sst>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yyyy-mm-dd"/>
    <x:numFmt numFmtId="201" formatCode="mmm d"/>
  </x:numFmts>
  <x:fonts count="17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11"/>
      <x:color rgb="FFFFFFFF"/>
      <x:name val="Arial"/>
    </x:font>
    <x:font>
      <x:b/>
      <x:sz val="11"/>
      <x:color rgb="FF3F3296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3F3296"/>
      </x:patternFill>
    </x:fill>
    <x:fill>
      <x:patternFill patternType="solid">
        <x:fgColor rgb="FFF2EDFF"/>
      </x:patternFill>
    </x:fill>
  </x:fills>
  <x:borders count="23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5" borderId="2" xfId="0" applyNumberFormat="1" applyFont="1" applyFill="1" applyBorder="1" applyAlignment="1">
      <x:alignment horizontal="left" vertical="center"/>
    </x:xf>
    <x:xf numFmtId="201" fontId="10" fillId="6" borderId="1" xfId="0" applyNumberFormat="1" applyFont="1" applyFill="1" applyBorder="1" applyAlignment="1">
      <x:alignment horizontal="center" vertical="center" wrapText="1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16" fillId="10" borderId="14" xfId="0" applyNumberFormat="1" applyFont="1" applyFill="1" applyBorder="1" applyAlignment="1">
      <x:alignment wrapText="1"/>
    </x:xf>
    <x:xf numFmtId="0" fontId="16" fillId="10" borderId="15" xfId="0" applyNumberFormat="1" applyFont="1" applyFill="1" applyBorder="1" applyAlignment="1">
      <x:alignment wrapText="1"/>
    </x:xf>
    <x:xf numFmtId="0" fontId="16" fillId="10" borderId="16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f9068bdfb44fd" /><Relationship Type="http://schemas.openxmlformats.org/officeDocument/2006/relationships/theme" Target="/xl/theme/theme1.xml" Id="Re0f1a00e51d9418b" /><Relationship Type="http://schemas.openxmlformats.org/officeDocument/2006/relationships/sharedStrings" Target="/xl/sharedStrings.xml" Id="R17646aa0ea3b418a" /><Relationship Type="http://schemas.openxmlformats.org/officeDocument/2006/relationships/worksheet" Target="/xl/worksheets/sheet1.xml" Id="R21b28990c2ef47c3" /><Relationship Type="http://schemas.openxmlformats.org/officeDocument/2006/relationships/worksheet" Target="/xl/worksheets/sheet2.xml" Id="R23afee15e89b4032" /><Relationship Type="http://schemas.openxmlformats.org/officeDocument/2006/relationships/worksheet" Target="/xl/worksheets/sheet3.xml" Id="R13faa4266b034644" /><Relationship Type="http://schemas.openxmlformats.org/officeDocument/2006/relationships/worksheet" Target="/xl/worksheets/sheet4.xml" Id="R2c2d65992ed2496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Optivus Onboarding Release Closure Tracker</x:v>
      </x:c>
      <x:c r="C2" s="19" t="str">
        <x:v>Optivus Onboarding Release Closure Tracker</x:v>
      </x:c>
      <x:c r="D2" s="19" t="str">
        <x:v>Optivus Onboarding Release Closure Tracker</x:v>
      </x:c>
      <x:c r="E2" s="19" t="str">
        <x:v>Optivus Onboarding Release Closure Tracker</x:v>
      </x:c>
      <x:c r="F2" s="19" t="str">
        <x:v>Optivus Onboarding Release Closure Tracker</x:v>
      </x:c>
      <x:c r="G2" s="19" t="str">
        <x:v>Optivus Onboarding Release Closure Tracker</x:v>
      </x:c>
      <x:c r="H2" s="19" t="str">
        <x:v>Optivus Onboarding Release Closure Tracker</x:v>
      </x:c>
      <x:c r="I2" s="19" t="str">
        <x:v>Optivus Onboarding Release Closure Tracker</x:v>
      </x:c>
      <x:c r="J2" s="19" t="str">
        <x:v>Optivus Onboarding Release Closure Tracker</x:v>
      </x:c>
      <x:c r="K2" s="19" t="str">
        <x:v>Optivus Onboarding Release Closure Tracker</x:v>
      </x:c>
      <x:c r="L2" s="19" t="str">
        <x:v>Optivus Onboarding Release Closure Tracker</x:v>
      </x:c>
      <x:c r="M2" s="19" t="str">
        <x:v>Optivus Onboarding Release Closure Tracker</x:v>
      </x:c>
      <x:c r="N2" s="19" t="str">
        <x:v>Optivus Onboarding Release Closure Tracker</x:v>
      </x:c>
      <x:c r="O2" s="19" t="str">
        <x:v>Optivus Onboarding Release Closure Tracker</x:v>
      </x:c>
      <x:c r="P2" s="19" t="str">
        <x:v>Optivus Onboarding Release Closure Tracker</x:v>
      </x:c>
      <x:c r="Q2" s="19" t="str">
        <x:v>Optivus Onboarding Release Closure Tracker</x:v>
      </x:c>
      <x:c r="R2" s="19" t="str">
        <x:v>Optivus Onboarding Release Closure Tracker</x:v>
      </x:c>
      <x:c r="S2" s="20" t="str">
        <x:v>Optivus Onboarding Release Closure Tracker</x:v>
      </x:c>
      <x:c r="T2" s="20" t="str">
        <x:v>Optivus Onboarding Release Closure Tracker</x:v>
      </x:c>
      <x:c r="U2" s="20" t="str">
        <x:v>Optivus Onboarding Release Closure Tracker</x:v>
      </x:c>
      <x:c r="V2" s="20" t="str">
        <x:v>Optivus Onboarding Release Closure Tracker</x:v>
      </x:c>
      <x:c r="W2" s="20" t="str">
        <x:v>Optivus Onboarding Release Closure Tracker</x:v>
      </x:c>
      <x:c r="X2" s="20" t="str">
        <x:v>Optivus Onboarding Release Closure Tracker</x:v>
      </x:c>
      <x:c r="Y2" s="20" t="str">
        <x:v>Optivus Onboarding Release Closure Tracker</x:v>
      </x:c>
      <x:c r="Z2" s="20" t="str">
        <x:v>Optivus Onboarding Release Closure Tracker</x:v>
      </x:c>
      <x:c r="AA2" s="20" t="str">
        <x:v>Optivus Onboarding Release Closure Tracker</x:v>
      </x:c>
      <x:c r="AB2" s="20" t="str">
        <x:v>Optivus Onboarding Release Closure Tracker</x:v>
      </x:c>
      <x:c r="AC2" s="20" t="str">
        <x:v>Optivus Onboarding Release Closure Tracker</x:v>
      </x:c>
      <x:c r="AD2" s="20" t="str">
        <x:v>Optivus Onboarding Release Closure Tracker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">
        <x:v>0</x:v>
      </x:c>
      <x:c r="C4" s="21" t="s">
        <x:v>0</x:v>
      </x:c>
      <x:c r="D4" s="21" t="s">
        <x:v>0</x:v>
      </x:c>
      <x:c r="E4" s="21" t="s">
        <x:v>0</x:v>
      </x:c>
      <x:c r="F4" s="21" t="s">
        <x:v>0</x:v>
      </x:c>
      <x:c r="G4" s="21" t="s">
        <x:v>0</x:v>
      </x:c>
      <x:c r="H4" s="21" t="s">
        <x:v>0</x:v>
      </x:c>
      <x:c r="I4" s="21" t="s">
        <x:v>0</x:v>
      </x:c>
      <x:c r="J4" s="15"/>
      <x:c r="K4" s="21" t="s">
        <x:v>1</x:v>
      </x:c>
      <x:c r="L4" s="21" t="s">
        <x:v>1</x:v>
      </x:c>
      <x:c r="M4" s="21" t="s">
        <x:v>1</x:v>
      </x:c>
      <x:c r="N4" s="21" t="s">
        <x:v>1</x:v>
      </x:c>
      <x:c r="O4" s="21" t="s">
        <x:v>1</x:v>
      </x:c>
      <x:c r="P4" s="21" t="s">
        <x:v>1</x:v>
      </x:c>
      <x:c r="Q4" s="21" t="s">
        <x:v>1</x:v>
      </x:c>
      <x:c r="R4" s="21" t="s">
        <x:v>1</x:v>
      </x:c>
      <x:c r="S4" s="21" t="s">
        <x:v>1</x:v>
      </x:c>
      <x:c r="T4" s="21" t="s">
        <x:v>1</x:v>
      </x:c>
      <x:c r="U4" s="21" t="s">
        <x:v>1</x:v>
      </x:c>
      <x:c r="V4" s="21" t="s">
        <x:v>1</x:v>
      </x:c>
      <x:c r="W4" s="21" t="s">
        <x:v>1</x:v>
      </x:c>
      <x:c r="X4" s="21" t="s">
        <x:v>1</x:v>
      </x:c>
      <x:c r="Y4" s="21" t="s">
        <x:v>1</x:v>
      </x:c>
      <x:c r="Z4" s="21" t="s">
        <x:v>1</x:v>
      </x:c>
      <x:c r="AA4" s="21" t="s">
        <x:v>1</x:v>
      </x:c>
      <x:c r="AB4" s="21" t="s">
        <x:v>1</x:v>
      </x:c>
      <x:c r="AC4" s="21" t="s">
        <x:v>1</x:v>
      </x:c>
      <x:c r="AD4" s="21" t="s">
        <x:v>1</x:v>
      </x:c>
    </x:row>
    <x:row r="5" ht="22" customHeight="1">
      <x:c r="B5" s="18" t="s">
        <x:v>2</x:v>
      </x:c>
      <x:c r="C5" s="22" t="str">
        <x:v>Optivus Onboarding Release Closure</x:v>
      </x:c>
      <x:c r="D5" s="22" t="str">
        <x:v>Optivus Onboarding Release Closure</x:v>
      </x:c>
      <x:c r="E5" s="22" t="str">
        <x:v>Optivus Onboarding Release Closure</x:v>
      </x:c>
      <x:c r="F5" s="27" t="s">
        <x:v>3</x:v>
      </x:c>
      <x:c r="G5" s="28"/>
      <x:c r="H5" s="23" t="str">
        <x:v>Codex Audit</x:v>
      </x:c>
      <x:c r="I5" s="23" t="str">
        <x:v>Codex Audit</x:v>
      </x:c>
      <x:c r="J5" s="15"/>
      <x:c r="K5" s="24" t="s">
        <x:v>4</x:v>
      </x:c>
      <x:c r="L5" s="25" t="s">
        <x:v>4</x:v>
      </x:c>
      <x:c r="M5" s="25" t="s">
        <x:v>4</x:v>
      </x:c>
      <x:c r="N5" s="26" t="s">
        <x:v>4</x:v>
      </x:c>
      <x:c r="O5" s="24" t="s">
        <x:v>5</x:v>
      </x:c>
      <x:c r="P5" s="25" t="s">
        <x:v>5</x:v>
      </x:c>
      <x:c r="Q5" s="25" t="s">
        <x:v>5</x:v>
      </x:c>
      <x:c r="R5" s="26" t="s">
        <x:v>5</x:v>
      </x:c>
      <x:c r="S5" s="24" t="s">
        <x:v>6</x:v>
      </x:c>
      <x:c r="T5" s="25" t="s">
        <x:v>6</x:v>
      </x:c>
      <x:c r="U5" s="25" t="s">
        <x:v>6</x:v>
      </x:c>
      <x:c r="V5" s="26" t="s">
        <x:v>6</x:v>
      </x:c>
      <x:c r="W5" s="24" t="s">
        <x:v>7</x:v>
      </x:c>
      <x:c r="X5" s="25" t="s">
        <x:v>7</x:v>
      </x:c>
      <x:c r="Y5" s="25" t="s">
        <x:v>7</x:v>
      </x:c>
      <x:c r="Z5" s="26" t="s">
        <x:v>7</x:v>
      </x:c>
      <x:c r="AA5" s="24" t="s">
        <x:v>8</x:v>
      </x:c>
      <x:c r="AB5" s="25" t="s">
        <x:v>8</x:v>
      </x:c>
      <x:c r="AC5" s="25" t="s">
        <x:v>8</x:v>
      </x:c>
      <x:c r="AD5" s="26" t="s">
        <x:v>8</x:v>
      </x:c>
    </x:row>
    <x:row r="6" ht="22" customHeight="1">
      <x:c r="B6" s="18" t="s">
        <x:v>9</x:v>
      </x:c>
      <x:c r="C6" s="23" t="str">
        <x:v>Optivus</x:v>
      </x:c>
      <x:c r="D6" s="23" t="str">
        <x:v>Optivus</x:v>
      </x:c>
      <x:c r="E6" s="23" t="str">
        <x:v>Optivus</x:v>
      </x:c>
      <x:c r="F6" s="27" t="s">
        <x:v>10</x:v>
      </x:c>
      <x:c r="G6" s="28"/>
      <x:c r="H6" s="48" t="n">
        <x:v>46230</x:v>
      </x:c>
      <x:c r="I6" s="48" t="n">
        <x:v>46230</x:v>
      </x:c>
      <x:c r="J6" s="15"/>
      <x:c r="K6" s="42" t="n">
        <x:f>COUNTA($C$10:$C$39)</x:f>
        <x:v>30</x:v>
      </x:c>
      <x:c r="L6" s="43"/>
      <x:c r="M6" s="43"/>
      <x:c r="N6" s="44"/>
      <x:c r="O6" s="45" t="n">
        <x:f>COUNTIF($E$10:$E$39,"Complete")</x:f>
        <x:v>0</x:v>
      </x:c>
      <x:c r="P6" s="46"/>
      <x:c r="Q6" s="46"/>
      <x:c r="R6" s="47"/>
      <x:c r="S6" s="35" t="n">
        <x:f>COUNTIF($E$10:$E$39,"In Progress")</x:f>
        <x:v>1</x:v>
      </x:c>
      <x:c r="T6" s="36"/>
      <x:c r="U6" s="36"/>
      <x:c r="V6" s="37"/>
      <x:c r="W6" s="38" t="n">
        <x:f>COUNTIF($E$10:$E$39,"At Risk")</x:f>
        <x:v>3</x:v>
      </x:c>
      <x:c r="X6" s="39"/>
      <x:c r="Y6" s="39"/>
      <x:c r="Z6" s="40"/>
      <x:c r="AA6" s="38" t="n">
        <x:f>COUNTIF($F$10:$F$39,"P0")</x:f>
        <x:v>22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">
        <x:v>11</x:v>
      </x:c>
      <x:c r="C8" s="21" t="s">
        <x:v>11</x:v>
      </x:c>
      <x:c r="D8" s="21" t="s">
        <x:v>11</x:v>
      </x:c>
      <x:c r="E8" s="21" t="s">
        <x:v>11</x:v>
      </x:c>
      <x:c r="F8" s="21" t="s">
        <x:v>11</x:v>
      </x:c>
      <x:c r="G8" s="21" t="s">
        <x:v>11</x:v>
      </x:c>
      <x:c r="H8" s="21" t="s">
        <x:v>11</x:v>
      </x:c>
      <x:c r="I8" s="21" t="s">
        <x:v>11</x:v>
      </x:c>
      <x:c r="J8" s="15"/>
      <x:c r="K8" s="21" t="s">
        <x:v>12</x:v>
      </x:c>
      <x:c r="L8" s="21" t="s">
        <x:v>12</x:v>
      </x:c>
      <x:c r="M8" s="21" t="s">
        <x:v>12</x:v>
      </x:c>
      <x:c r="N8" s="21" t="s">
        <x:v>12</x:v>
      </x:c>
      <x:c r="O8" s="21" t="s">
        <x:v>12</x:v>
      </x:c>
      <x:c r="P8" s="21" t="s">
        <x:v>12</x:v>
      </x:c>
      <x:c r="Q8" s="21" t="s">
        <x:v>12</x:v>
      </x:c>
      <x:c r="R8" s="21" t="s">
        <x:v>12</x:v>
      </x:c>
      <x:c r="S8" s="21" t="s">
        <x:v>12</x:v>
      </x:c>
      <x:c r="T8" s="21" t="s">
        <x:v>12</x:v>
      </x:c>
      <x:c r="U8" s="21" t="s">
        <x:v>12</x:v>
      </x:c>
      <x:c r="V8" s="21" t="s">
        <x:v>12</x:v>
      </x:c>
      <x:c r="W8" s="21" t="s">
        <x:v>12</x:v>
      </x:c>
      <x:c r="X8" s="21" t="s">
        <x:v>12</x:v>
      </x:c>
      <x:c r="Y8" s="21" t="s">
        <x:v>12</x:v>
      </x:c>
      <x:c r="Z8" s="21" t="s">
        <x:v>12</x:v>
      </x:c>
      <x:c r="AA8" s="21" t="s">
        <x:v>12</x:v>
      </x:c>
      <x:c r="AB8" s="21" t="s">
        <x:v>12</x:v>
      </x:c>
      <x:c r="AC8" s="21" t="s">
        <x:v>12</x:v>
      </x:c>
      <x:c r="AD8" s="21" t="s">
        <x:v>12</x:v>
      </x:c>
    </x:row>
    <x:row r="9" ht="28" customHeight="1">
      <x:c r="B9" s="1" t="s">
        <x:v>13</x:v>
      </x:c>
      <x:c r="C9" s="1" t="s">
        <x:v>14</x:v>
      </x:c>
      <x:c r="D9" s="1" t="s">
        <x:v>15</x:v>
      </x:c>
      <x:c r="E9" s="1" t="s">
        <x:v>16</x:v>
      </x:c>
      <x:c r="F9" s="1" t="s">
        <x:v>17</x:v>
      </x:c>
      <x:c r="G9" s="1" t="s">
        <x:v>18</x:v>
      </x:c>
      <x:c r="H9" s="1" t="s">
        <x:v>19</x:v>
      </x:c>
      <x:c r="I9" s="1" t="s">
        <x:v>20</x:v>
      </x:c>
      <x:c r="J9" s="15"/>
      <x:c r="K9" s="49" t="n">
        <x:f>$H$6</x:f>
        <x:v>46230</x:v>
      </x:c>
      <x:c r="L9" s="49" t="n">
        <x:f t="shared" ref="L9:AD9" si="0">K9+7</x:f>
        <x:v>46237</x:v>
      </x:c>
      <x:c r="M9" s="49" t="n">
        <x:f t="shared" si="0">L9+7</x:f>
        <x:v>46244</x:v>
      </x:c>
      <x:c r="N9" s="49" t="n">
        <x:f t="shared" si="0">M9+7</x:f>
        <x:v>46251</x:v>
      </x:c>
      <x:c r="O9" s="49" t="n">
        <x:f t="shared" si="0">N9+7</x:f>
        <x:v>46258</x:v>
      </x:c>
      <x:c r="P9" s="49" t="n">
        <x:f t="shared" si="0">O9+7</x:f>
        <x:v>46265</x:v>
      </x:c>
      <x:c r="Q9" s="49" t="n">
        <x:f t="shared" si="0">P9+7</x:f>
        <x:v>46272</x:v>
      </x:c>
      <x:c r="R9" s="49" t="n">
        <x:f t="shared" si="0">Q9+7</x:f>
        <x:v>46279</x:v>
      </x:c>
      <x:c r="S9" s="49" t="n">
        <x:f t="shared" si="0">R9+7</x:f>
        <x:v>46286</x:v>
      </x:c>
      <x:c r="T9" s="49" t="n">
        <x:f t="shared" si="0">S9+7</x:f>
        <x:v>46293</x:v>
      </x:c>
      <x:c r="U9" s="49" t="n">
        <x:f t="shared" si="0">T9+7</x:f>
        <x:v>46300</x:v>
      </x:c>
      <x:c r="V9" s="49" t="n">
        <x:f t="shared" si="0">U9+7</x:f>
        <x:v>46307</x:v>
      </x:c>
      <x:c r="W9" s="49" t="n">
        <x:f t="shared" si="0">V9+7</x:f>
        <x:v>46314</x:v>
      </x:c>
      <x:c r="X9" s="49" t="n">
        <x:f t="shared" si="0">W9+7</x:f>
        <x:v>46321</x:v>
      </x:c>
      <x:c r="Y9" s="49" t="n">
        <x:f t="shared" si="0">X9+7</x:f>
        <x:v>46328</x:v>
      </x:c>
      <x:c r="Z9" s="49" t="n">
        <x:f t="shared" si="0">Y9+7</x:f>
        <x:v>46335</x:v>
      </x:c>
      <x:c r="AA9" s="49" t="n">
        <x:f t="shared" si="0">Z9+7</x:f>
        <x:v>46342</x:v>
      </x:c>
      <x:c r="AB9" s="49" t="n">
        <x:f t="shared" si="0">AA9+7</x:f>
        <x:v>46349</x:v>
      </x:c>
      <x:c r="AC9" s="49" t="n">
        <x:f t="shared" si="0">AB9+7</x:f>
        <x:v>46356</x:v>
      </x:c>
      <x:c r="AD9" s="49" t="n">
        <x:f t="shared" si="0">AC9+7</x:f>
        <x:v>46363</x:v>
      </x:c>
    </x:row>
    <x:row r="10">
      <x:c r="B10" s="5" t="str">
        <x:v>Audit</x:v>
      </x:c>
      <x:c r="C10" s="4" t="str">
        <x:v>Restore authoritative 68-issue mapping</x:v>
      </x:c>
      <x:c r="D10" s="7" t="str">
        <x:v>Principal Engineer</x:v>
      </x:c>
      <x:c r="E10" s="7" t="str">
        <x:v>In Progress</x:v>
      </x:c>
      <x:c r="F10" s="7" t="str">
        <x:v>P0</x:v>
      </x:c>
      <x:c r="G10" s="50" t="n">
        <x:v>46230</x:v>
      </x:c>
      <x:c r="H10" s="50" t="n">
        <x:v>46233</x:v>
      </x:c>
      <x:c r="I10" s="11" t="n">
        <x:f t="shared" ref="I10:I39" si="1">IF(OR(G10="",H10="",H10&lt;G10),"",H10-G10+1)</x:f>
        <x:v>4</x:v>
      </x:c>
      <x:c r="J10" s="15"/>
      <x:c r="K10" s="12" t="n">
        <x:f t="shared" ref="K10:T19" si="2">IF(OR($G10="",$H10="",$H10&lt;$G10),"",IF(AND(K$9&lt;=$H10,K$9+6&gt;=$G10),1,""))</x:f>
        <x:v>1</x:v>
      </x:c>
      <x:c r="L10" s="13" t="str">
        <x:f t="shared" si="2">IF(OR($G10="",$H10="",$H10&lt;$G10),"",IF(AND(L$9&lt;=$H10,L$9+6&gt;=$G10),1,""))</x:f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Audit</x:v>
      </x:c>
      <x:c r="C11" s="3" t="str">
        <x:v>Record baseline command evidence</x:v>
      </x:c>
      <x:c r="D11" s="8" t="str">
        <x:v>Principal Engineer</x:v>
      </x:c>
      <x:c r="E11" s="8" t="str">
        <x:v>At Risk</x:v>
      </x:c>
      <x:c r="F11" s="8" t="str">
        <x:v>P0</x:v>
      </x:c>
      <x:c r="G11" s="51" t="n">
        <x:v>46230</x:v>
      </x:c>
      <x:c r="H11" s="51" t="n">
        <x:v>46230</x:v>
      </x:c>
      <x:c r="I11" s="11" t="n">
        <x:f t="shared" si="1">IF(OR(G11="",H11="",H11&lt;G11),"",H11-G11+1)</x:f>
        <x:v>1</x:v>
      </x:c>
      <x:c r="J11" s="15"/>
      <x:c r="K11" s="12" t="n">
        <x:f t="shared" si="2">IF(OR($G11="",$H11="",$H11&lt;$G11),"",IF(AND(K$9&lt;=$H11,K$9+6&gt;=$G11),1,""))</x:f>
        <x:v>1</x:v>
      </x:c>
      <x:c r="L11" s="13" t="str">
        <x:f t="shared" si="2">IF(OR($G11="",$H11="",$H11&lt;$G11),"",IF(AND(L$9&lt;=$H11,L$9+6&gt;=$G11),1,""))</x:f>
      </x:c>
      <x:c r="M11" s="12" t="str">
        <x:f t="shared" si="2">IF(OR($G11="",$H11="",$H11&lt;$G11),"",IF(AND(M$9&lt;=$H11,M$9+6&gt;=$G11),1,""))</x:f>
      </x:c>
      <x:c r="N11" s="13" t="str">
        <x:f t="shared" si="2">IF(OR($G11="",$H11="",$H11&lt;$G11),"",IF(AND(N$9&lt;=$H11,N$9+6&gt;=$G11),1,""))</x:f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Architecture</x:v>
      </x:c>
      <x:c r="C12" s="4" t="str">
        <x:v>Route Enter Optivus through canonical job</x:v>
      </x:c>
      <x:c r="D12" s="7" t="str">
        <x:v>Onboarding</x:v>
      </x:c>
      <x:c r="E12" s="7" t="str">
        <x:v>Not Started</x:v>
      </x:c>
      <x:c r="F12" s="7" t="str">
        <x:v>P0</x:v>
      </x:c>
      <x:c r="G12" s="50" t="n">
        <x:v>46231</x:v>
      </x:c>
      <x:c r="H12" s="50" t="n">
        <x:v>46236</x:v>
      </x:c>
      <x:c r="I12" s="11" t="n">
        <x:f t="shared" si="1">IF(OR(G12="",H12="",H12&lt;G12),"",H12-G12+1)</x:f>
        <x:v>6</x:v>
      </x:c>
      <x:c r="J12" s="15"/>
      <x:c r="K12" s="12" t="n">
        <x:f t="shared" si="2">IF(OR($G12="",$H12="",$H12&lt;$G12),"",IF(AND(K$9&lt;=$H12,K$9+6&gt;=$G12),1,""))</x:f>
        <x:v>1</x:v>
      </x:c>
      <x:c r="L12" s="13" t="str">
        <x:f t="shared" si="2">IF(OR($G12="",$H12="",$H12&lt;$G12),"",IF(AND(L$9&lt;=$H12,L$9+6&gt;=$G12),1,""))</x:f>
      </x:c>
      <x:c r="M12" s="12" t="str">
        <x:f t="shared" si="2">IF(OR($G12="",$H12="",$H12&lt;$G12),"",IF(AND(M$9&lt;=$H12,M$9+6&gt;=$G12),1,""))</x:f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Architecture</x:v>
      </x:c>
      <x:c r="C13" s="3" t="str">
        <x:v>Persist and resume current completion job</x:v>
      </x:c>
      <x:c r="D13" s="8" t="str">
        <x:v>Onboarding</x:v>
      </x:c>
      <x:c r="E13" s="8" t="str">
        <x:v>Not Started</x:v>
      </x:c>
      <x:c r="F13" s="8" t="str">
        <x:v>P0</x:v>
      </x:c>
      <x:c r="G13" s="51" t="n">
        <x:v>46231</x:v>
      </x:c>
      <x:c r="H13" s="51" t="n">
        <x:v>46237</x:v>
      </x:c>
      <x:c r="I13" s="11" t="n">
        <x:f t="shared" si="1">IF(OR(G13="",H13="",H13&lt;G13),"",H13-G13+1)</x:f>
        <x:v>7</x:v>
      </x:c>
      <x:c r="J13" s="15"/>
      <x:c r="K13" s="12" t="n">
        <x:f t="shared" si="2">IF(OR($G13="",$H13="",$H13&lt;$G13),"",IF(AND(K$9&lt;=$H13,K$9+6&gt;=$G13),1,""))</x:f>
        <x:v>1</x:v>
      </x:c>
      <x:c r="L13" s="13" t="n">
        <x:f t="shared" si="2">IF(OR($G13="",$H13="",$H13&lt;$G13),"",IF(AND(L$9&lt;=$H13,L$9+6&gt;=$G13),1,""))</x:f>
        <x:v>1</x:v>
      </x:c>
      <x:c r="M13" s="12" t="str">
        <x:f t="shared" si="2">IF(OR($G13="",$H13="",$H13&lt;$G13),"",IF(AND(M$9&lt;=$H13,M$9+6&gt;=$G13),1,""))</x:f>
      </x:c>
      <x:c r="N13" s="13" t="str">
        <x:f t="shared" si="2">IF(OR($G13="",$H13="",$H13&lt;$G13),"",IF(AND(N$9&lt;=$H13,N$9+6&gt;=$G13),1,""))</x:f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Architecture</x:v>
      </x:c>
      <x:c r="C14" s="4" t="str">
        <x:v>Inject required production dependencies</x:v>
      </x:c>
      <x:c r="D14" s="7" t="str">
        <x:v>Platform</x:v>
      </x:c>
      <x:c r="E14" s="7" t="str">
        <x:v>Not Started</x:v>
      </x:c>
      <x:c r="F14" s="7" t="str">
        <x:v>P0</x:v>
      </x:c>
      <x:c r="G14" s="50" t="n">
        <x:v>46232</x:v>
      </x:c>
      <x:c r="H14" s="50" t="n">
        <x:v>46237</x:v>
      </x:c>
      <x:c r="I14" s="11" t="n">
        <x:f t="shared" si="1">IF(OR(G14="",H14="",H14&lt;G14),"",H14-G14+1)</x:f>
        <x:v>6</x:v>
      </x:c>
      <x:c r="J14" s="15"/>
      <x:c r="K14" s="12" t="n">
        <x:f t="shared" si="2">IF(OR($G14="",$H14="",$H14&lt;$G14),"",IF(AND(K$9&lt;=$H14,K$9+6&gt;=$G14),1,""))</x:f>
        <x:v>1</x:v>
      </x:c>
      <x:c r="L14" s="13" t="n">
        <x:f t="shared" si="2">IF(OR($G14="",$H14="",$H14&lt;$G14),"",IF(AND(L$9&lt;=$H14,L$9+6&gt;=$G14),1,""))</x:f>
        <x:v>1</x:v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Persistence</x:v>
      </x:c>
      <x:c r="C15" s="3" t="str">
        <x:v>Make job persistence mandatory in Firebase mode</x:v>
      </x:c>
      <x:c r="D15" s="8" t="str">
        <x:v>Backend</x:v>
      </x:c>
      <x:c r="E15" s="8" t="str">
        <x:v>Not Started</x:v>
      </x:c>
      <x:c r="F15" s="8" t="str">
        <x:v>P0</x:v>
      </x:c>
      <x:c r="G15" s="51" t="n">
        <x:v>46232</x:v>
      </x:c>
      <x:c r="H15" s="51" t="n">
        <x:v>46238</x:v>
      </x:c>
      <x:c r="I15" s="11" t="n">
        <x:f t="shared" si="1">IF(OR(G15="",H15="",H15&lt;G15),"",H15-G15+1)</x:f>
        <x:v>7</x:v>
      </x:c>
      <x:c r="J15" s="15"/>
      <x:c r="K15" s="12" t="n">
        <x:f t="shared" si="2">IF(OR($G15="",$H15="",$H15&lt;$G15),"",IF(AND(K$9&lt;=$H15,K$9+6&gt;=$G15),1,""))</x:f>
        <x:v>1</x:v>
      </x:c>
      <x:c r="L15" s="13" t="n">
        <x:f t="shared" si="2">IF(OR($G15="",$H15="",$H15&lt;$G15),"",IF(AND(L$9&lt;=$H15,L$9+6&gt;=$G15),1,""))</x:f>
        <x:v>1</x:v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Routines</x:v>
      </x:c>
      <x:c r="C16" s="4" t="str">
        <x:v>Reconcile receipt before no-op completion</x:v>
      </x:c>
      <x:c r="D16" s="7" t="str">
        <x:v>Routine</x:v>
      </x:c>
      <x:c r="E16" s="7" t="str">
        <x:v>Not Started</x:v>
      </x:c>
      <x:c r="F16" s="7" t="str">
        <x:v>P0</x:v>
      </x:c>
      <x:c r="G16" s="50" t="n">
        <x:v>46233</x:v>
      </x:c>
      <x:c r="H16" s="50" t="n">
        <x:v>46239</x:v>
      </x:c>
      <x:c r="I16" s="11" t="n">
        <x:f t="shared" si="1">IF(OR(G16="",H16="",H16&lt;G16),"",H16-G16+1)</x:f>
        <x:v>7</x:v>
      </x:c>
      <x:c r="J16" s="15"/>
      <x:c r="K16" s="12" t="n">
        <x:f t="shared" si="2">IF(OR($G16="",$H16="",$H16&lt;$G16),"",IF(AND(K$9&lt;=$H16,K$9+6&gt;=$G16),1,""))</x:f>
        <x:v>1</x:v>
      </x:c>
      <x:c r="L16" s="13" t="n">
        <x:f t="shared" si="2">IF(OR($G16="",$H16="",$H16&lt;$G16),"",IF(AND(L$9&lt;=$H16,L$9+6&gt;=$G16),1,""))</x:f>
        <x:v>1</x:v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Routines</x:v>
      </x:c>
      <x:c r="C17" s="3" t="str">
        <x:v>Validate existing Routine documents</x:v>
      </x:c>
      <x:c r="D17" s="8" t="str">
        <x:v>Routine</x:v>
      </x:c>
      <x:c r="E17" s="8" t="str">
        <x:v>Not Started</x:v>
      </x:c>
      <x:c r="F17" s="8" t="str">
        <x:v>P0</x:v>
      </x:c>
      <x:c r="G17" s="51" t="n">
        <x:v>46233</x:v>
      </x:c>
      <x:c r="H17" s="51" t="n">
        <x:v>46239</x:v>
      </x:c>
      <x:c r="I17" s="11" t="n">
        <x:f t="shared" si="1">IF(OR(G17="",H17="",H17&lt;G17),"",H17-G17+1)</x:f>
        <x:v>7</x:v>
      </x:c>
      <x:c r="J17" s="15"/>
      <x:c r="K17" s="12" t="n">
        <x:f t="shared" si="2">IF(OR($G17="",$H17="",$H17&lt;$G17),"",IF(AND(K$9&lt;=$H17,K$9+6&gt;=$G17),1,""))</x:f>
        <x:v>1</x:v>
      </x:c>
      <x:c r="L17" s="13" t="n">
        <x:f t="shared" si="2">IF(OR($G17="",$H17="",$H17&lt;$G17),"",IF(AND(L$9&lt;=$H17,L$9+6&gt;=$G17),1,""))</x:f>
        <x:v>1</x:v>
      </x:c>
      <x:c r="M17" s="12" t="str">
        <x:f t="shared" si="2">IF(OR($G17="",$H17="",$H17&lt;$G17),"",IF(AND(M$9&lt;=$H17,M$9+6&gt;=$G17),1,""))</x:f>
      </x:c>
      <x:c r="N17" s="13" t="str">
        <x:f t="shared" si="2">IF(OR($G17="",$H17="",$H17&lt;$G17),"",IF(AND(N$9&lt;=$H17,N$9+6&gt;=$G17),1,""))</x:f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Habits</x:v>
      </x:c>
      <x:c r="C18" s="4" t="str">
        <x:v>Reorder habit reconciliation and controller reload</x:v>
      </x:c>
      <x:c r="D18" s="7" t="str">
        <x:v>Habit Systems</x:v>
      </x:c>
      <x:c r="E18" s="7" t="str">
        <x:v>Not Started</x:v>
      </x:c>
      <x:c r="F18" s="7" t="str">
        <x:v>P0</x:v>
      </x:c>
      <x:c r="G18" s="50" t="n">
        <x:v>46235</x:v>
      </x:c>
      <x:c r="H18" s="50" t="n">
        <x:v>46240</x:v>
      </x:c>
      <x:c r="I18" s="11" t="n">
        <x:f t="shared" si="1">IF(OR(G18="",H18="",H18&lt;G18),"",H18-G18+1)</x:f>
        <x:v>6</x:v>
      </x:c>
      <x:c r="J18" s="15"/>
      <x:c r="K18" s="12" t="n">
        <x:f t="shared" si="2">IF(OR($G18="",$H18="",$H18&lt;$G18),"",IF(AND(K$9&lt;=$H18,K$9+6&gt;=$G18),1,""))</x:f>
        <x:v>1</x:v>
      </x:c>
      <x:c r="L18" s="13" t="n">
        <x:f t="shared" si="2">IF(OR($G18="",$H18="",$H18&lt;$G18),"",IF(AND(L$9&lt;=$H18,L$9+6&gt;=$G18),1,""))</x:f>
        <x:v>1</x:v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Habits</x:v>
      </x:c>
      <x:c r="C19" s="3" t="str">
        <x:v>Fail habit stage when reader/dependency absent</x:v>
      </x:c>
      <x:c r="D19" s="8" t="str">
        <x:v>Habit Systems</x:v>
      </x:c>
      <x:c r="E19" s="8" t="str">
        <x:v>Not Started</x:v>
      </x:c>
      <x:c r="F19" s="8" t="str">
        <x:v>P0</x:v>
      </x:c>
      <x:c r="G19" s="51" t="n">
        <x:v>46235</x:v>
      </x:c>
      <x:c r="H19" s="51" t="n">
        <x:v>46240</x:v>
      </x:c>
      <x:c r="I19" s="11" t="n">
        <x:f t="shared" si="1">IF(OR(G19="",H19="",H19&lt;G19),"",H19-G19+1)</x:f>
        <x:v>6</x:v>
      </x:c>
      <x:c r="J19" s="15"/>
      <x:c r="K19" s="12" t="n">
        <x:f t="shared" si="2">IF(OR($G19="",$H19="",$H19&lt;$G19),"",IF(AND(K$9&lt;=$H19,K$9+6&gt;=$G19),1,""))</x:f>
        <x:v>1</x:v>
      </x:c>
      <x:c r="L19" s="13" t="n">
        <x:f t="shared" si="2">IF(OR($G19="",$H19="",$H19&lt;$G19),"",IF(AND(L$9&lt;=$H19,L$9+6&gt;=$G19),1,""))</x:f>
        <x:v>1</x:v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Profile</x:v>
      </x:c>
      <x:c r="C20" s="4" t="str">
        <x:v>Verify all projections before final profile write</x:v>
      </x:c>
      <x:c r="D20" s="7" t="str">
        <x:v>Auth/Profile</x:v>
      </x:c>
      <x:c r="E20" s="7" t="str">
        <x:v>Not Started</x:v>
      </x:c>
      <x:c r="F20" s="7" t="str">
        <x:v>P0</x:v>
      </x:c>
      <x:c r="G20" s="50" t="n">
        <x:v>46237</x:v>
      </x:c>
      <x:c r="H20" s="50" t="n">
        <x:v>46242</x:v>
      </x:c>
      <x:c r="I20" s="11" t="n">
        <x:f t="shared" si="1">IF(OR(G20="",H20="",H20&lt;G20),"",H20-G20+1)</x:f>
        <x:v>6</x:v>
      </x:c>
      <x:c r="J20" s="15"/>
      <x:c r="K20" s="12" t="str">
        <x:f t="shared" ref="K20:T29" si="4">IF(OR($G20="",$H20="",$H20&lt;$G20),"",IF(AND(K$9&lt;=$H20,K$9+6&gt;=$G20),1,""))</x:f>
      </x:c>
      <x:c r="L20" s="13" t="n">
        <x:f t="shared" si="4">IF(OR($G20="",$H20="",$H20&lt;$G20),"",IF(AND(L$9&lt;=$H20,L$9+6&gt;=$G20),1,""))</x:f>
        <x:v>1</x:v>
      </x:c>
      <x:c r="M20" s="12" t="str">
        <x:f t="shared" si="4">IF(OR($G20="",$H20="",$H20&lt;$G20),"",IF(AND(M$9&lt;=$H20,M$9+6&gt;=$G20),1,""))</x:f>
      </x:c>
      <x:c r="N20" s="13" t="str">
        <x:f t="shared" si="4">IF(OR($G20="",$H20="",$H20&lt;$G20),"",IF(AND(N$9&lt;=$H20,N$9+6&gt;=$G20),1,""))</x:f>
      </x:c>
      <x:c r="O20" s="12" t="str">
        <x:f t="shared" si="4">IF(OR($G20="",$H20="",$H20&lt;$G20),"",IF(AND(O$9&lt;=$H20,O$9+6&gt;=$G20),1,""))</x:f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Profile</x:v>
      </x:c>
      <x:c r="C21" s="3" t="str">
        <x:v>Remove duplicate profile completion writes</x:v>
      </x:c>
      <x:c r="D21" s="8" t="str">
        <x:v>Auth/Profile</x:v>
      </x:c>
      <x:c r="E21" s="8" t="str">
        <x:v>Not Started</x:v>
      </x:c>
      <x:c r="F21" s="8" t="str">
        <x:v>P0</x:v>
      </x:c>
      <x:c r="G21" s="51" t="n">
        <x:v>46237</x:v>
      </x:c>
      <x:c r="H21" s="51" t="n">
        <x:v>46242</x:v>
      </x:c>
      <x:c r="I21" s="11" t="n">
        <x:f t="shared" si="1">IF(OR(G21="",H21="",H21&lt;G21),"",H21-G21+1)</x:f>
        <x:v>6</x:v>
      </x:c>
      <x:c r="J21" s="15"/>
      <x:c r="K21" s="12" t="str">
        <x:f t="shared" si="4">IF(OR($G21="",$H21="",$H21&lt;$G21),"",IF(AND(K$9&lt;=$H21,K$9+6&gt;=$G21),1,""))</x:f>
      </x:c>
      <x:c r="L21" s="13" t="n">
        <x:f t="shared" si="4">IF(OR($G21="",$H21="",$H21&lt;$G21),"",IF(AND(L$9&lt;=$H21,L$9+6&gt;=$G21),1,""))</x:f>
        <x:v>1</x:v>
      </x:c>
      <x:c r="M21" s="12" t="str">
        <x:f t="shared" si="4">IF(OR($G21="",$H21="",$H21&lt;$G21),"",IF(AND(M$9&lt;=$H21,M$9+6&gt;=$G21),1,""))</x:f>
      </x:c>
      <x:c r="N21" s="13" t="str">
        <x:f t="shared" si="4">IF(OR($G21="",$H21="",$H21&lt;$G21),"",IF(AND(N$9&lt;=$H21,N$9+6&gt;=$G21),1,""))</x:f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Routing</x:v>
      </x:c>
      <x:c r="C22" s="4" t="str">
        <x:v>Remove manual navigation race to /app</x:v>
      </x:c>
      <x:c r="D22" s="7" t="str">
        <x:v>Navigation</x:v>
      </x:c>
      <x:c r="E22" s="7" t="str">
        <x:v>Not Started</x:v>
      </x:c>
      <x:c r="F22" s="7" t="str">
        <x:v>P0</x:v>
      </x:c>
      <x:c r="G22" s="50" t="n">
        <x:v>46239</x:v>
      </x:c>
      <x:c r="H22" s="50" t="n">
        <x:v>46243</x:v>
      </x:c>
      <x:c r="I22" s="11" t="n">
        <x:f t="shared" si="1">IF(OR(G22="",H22="",H22&lt;G22),"",H22-G22+1)</x:f>
        <x:v>5</x:v>
      </x:c>
      <x:c r="J22" s="15"/>
      <x:c r="K22" s="12" t="str">
        <x:f t="shared" si="4">IF(OR($G22="",$H22="",$H22&lt;$G22),"",IF(AND(K$9&lt;=$H22,K$9+6&gt;=$G22),1,""))</x:f>
      </x:c>
      <x:c r="L22" s="13" t="n">
        <x:f t="shared" si="4">IF(OR($G22="",$H22="",$H22&lt;$G22),"",IF(AND(L$9&lt;=$H22,L$9+6&gt;=$G22),1,""))</x:f>
        <x:v>1</x:v>
      </x:c>
      <x:c r="M22" s="12" t="str">
        <x:f t="shared" si="4">IF(OR($G22="",$H22="",$H22&lt;$G22),"",IF(AND(M$9&lt;=$H22,M$9+6&gt;=$G22),1,""))</x:f>
      </x:c>
      <x:c r="N22" s="13" t="str">
        <x:f t="shared" si="4">IF(OR($G22="",$H22="",$H22&lt;$G22),"",IF(AND(N$9&lt;=$H22,N$9+6&gt;=$G22),1,""))</x:f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Errors</x:v>
      </x:c>
      <x:c r="C23" s="3" t="str">
        <x:v>Replace generic completion catch blocks</x:v>
      </x:c>
      <x:c r="D23" s="8" t="str">
        <x:v>Onboarding</x:v>
      </x:c>
      <x:c r="E23" s="8" t="str">
        <x:v>Not Started</x:v>
      </x:c>
      <x:c r="F23" s="8" t="str">
        <x:v>P0</x:v>
      </x:c>
      <x:c r="G23" s="51" t="n">
        <x:v>46239</x:v>
      </x:c>
      <x:c r="H23" s="51" t="n">
        <x:v>46244</x:v>
      </x:c>
      <x:c r="I23" s="11" t="n">
        <x:f t="shared" si="1">IF(OR(G23="",H23="",H23&lt;G23),"",H23-G23+1)</x:f>
        <x:v>6</x:v>
      </x:c>
      <x:c r="J23" s="15"/>
      <x:c r="K23" s="12" t="str">
        <x:f t="shared" si="4">IF(OR($G23="",$H23="",$H23&lt;$G23),"",IF(AND(K$9&lt;=$H23,K$9+6&gt;=$G23),1,""))</x:f>
      </x:c>
      <x:c r="L23" s="13" t="n">
        <x:f t="shared" si="4">IF(OR($G23="",$H23="",$H23&lt;$G23),"",IF(AND(L$9&lt;=$H23,L$9+6&gt;=$G23),1,""))</x:f>
        <x:v>1</x:v>
      </x:c>
      <x:c r="M23" s="12" t="n">
        <x:f t="shared" si="4">IF(OR($G23="",$H23="",$H23&lt;$G23),"",IF(AND(M$9&lt;=$H23,M$9+6&gt;=$G23),1,""))</x:f>
        <x:v>1</x:v>
      </x:c>
      <x:c r="N23" s="13" t="str">
        <x:f t="shared" si="4">IF(OR($G23="",$H23="",$H23&lt;$G23),"",IF(AND(N$9&lt;=$H23,N$9+6&gt;=$G23),1,""))</x:f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 t="str">
        <x:v>Recovery</x:v>
      </x:c>
      <x:c r="C24" s="4" t="str">
        <x:v>Drive recovery UI from persisted job state</x:v>
      </x:c>
      <x:c r="D24" s="7" t="str">
        <x:v>Recovery</x:v>
      </x:c>
      <x:c r="E24" s="7" t="str">
        <x:v>Not Started</x:v>
      </x:c>
      <x:c r="F24" s="7" t="str">
        <x:v>P0</x:v>
      </x:c>
      <x:c r="G24" s="50" t="n">
        <x:v>46241</x:v>
      </x:c>
      <x:c r="H24" s="50" t="n">
        <x:v>46246</x:v>
      </x:c>
      <x:c r="I24" s="11" t="n">
        <x:f t="shared" si="1">IF(OR(G24="",H24="",H24&lt;G24),"",H24-G24+1)</x:f>
        <x:v>6</x:v>
      </x:c>
      <x:c r="J24" s="15"/>
      <x:c r="K24" s="12" t="str">
        <x:f t="shared" si="4">IF(OR($G24="",$H24="",$H24&lt;$G24),"",IF(AND(K$9&lt;=$H24,K$9+6&gt;=$G24),1,""))</x:f>
      </x:c>
      <x:c r="L24" s="13" t="n">
        <x:f t="shared" si="4">IF(OR($G24="",$H24="",$H24&lt;$G24),"",IF(AND(L$9&lt;=$H24,L$9+6&gt;=$G24),1,""))</x:f>
        <x:v>1</x:v>
      </x:c>
      <x:c r="M24" s="12" t="n">
        <x:f t="shared" si="4">IF(OR($G24="",$H24="",$H24&lt;$G24),"",IF(AND(M$9&lt;=$H24,M$9+6&gt;=$G24),1,""))</x:f>
        <x:v>1</x:v>
      </x:c>
      <x:c r="N24" s="13" t="str">
        <x:f t="shared" si="4">IF(OR($G24="",$H24="",$H24&lt;$G24),"",IF(AND(N$9&lt;=$H24,N$9+6&gt;=$G24),1,""))</x:f>
      </x:c>
      <x:c r="O24" s="12" t="str">
        <x:f t="shared" si="4">IF(OR($G24="",$H24="",$H24&lt;$G24),"",IF(AND(O$9&lt;=$H24,O$9+6&gt;=$G24),1,""))</x:f>
      </x:c>
      <x:c r="P24" s="13" t="str">
        <x:f t="shared" si="4">IF(OR($G24="",$H24="",$H24&lt;$G24),"",IF(AND(P$9&lt;=$H24,P$9+6&gt;=$G24),1,""))</x:f>
      </x:c>
      <x:c r="Q24" s="12" t="str">
        <x:f t="shared" si="4">IF(OR($G24="",$H24="",$H24&lt;$G24),"",IF(AND(Q$9&lt;=$H24,Q$9+6&gt;=$G24),1,""))</x:f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 t="str">
        <x:v>Recovery</x:v>
      </x:c>
      <x:c r="C25" s="3" t="str">
        <x:v>Replace internal recovery copy with safe messaging</x:v>
      </x:c>
      <x:c r="D25" s="8" t="str">
        <x:v>Recovery</x:v>
      </x:c>
      <x:c r="E25" s="8" t="str">
        <x:v>Not Started</x:v>
      </x:c>
      <x:c r="F25" s="8" t="str">
        <x:v>P0</x:v>
      </x:c>
      <x:c r="G25" s="51" t="n">
        <x:v>46241</x:v>
      </x:c>
      <x:c r="H25" s="51" t="n">
        <x:v>46246</x:v>
      </x:c>
      <x:c r="I25" s="11" t="n">
        <x:f t="shared" si="1">IF(OR(G25="",H25="",H25&lt;G25),"",H25-G25+1)</x:f>
        <x:v>6</x:v>
      </x:c>
      <x:c r="J25" s="15"/>
      <x:c r="K25" s="12" t="str">
        <x:f t="shared" si="4">IF(OR($G25="",$H25="",$H25&lt;$G25),"",IF(AND(K$9&lt;=$H25,K$9+6&gt;=$G25),1,""))</x:f>
      </x:c>
      <x:c r="L25" s="13" t="n">
        <x:f t="shared" si="4">IF(OR($G25="",$H25="",$H25&lt;$G25),"",IF(AND(L$9&lt;=$H25,L$9+6&gt;=$G25),1,""))</x:f>
        <x:v>1</x:v>
      </x:c>
      <x:c r="M25" s="12" t="n">
        <x:f t="shared" si="4">IF(OR($G25="",$H25="",$H25&lt;$G25),"",IF(AND(M$9&lt;=$H25,M$9+6&gt;=$G25),1,""))</x:f>
        <x:v>1</x:v>
      </x:c>
      <x:c r="N25" s="13" t="str">
        <x:f t="shared" si="4">IF(OR($G25="",$H25="",$H25&lt;$G25),"",IF(AND(N$9&lt;=$H25,N$9+6&gt;=$G25),1,""))</x:f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 t="str">
        <x:v>Tests</x:v>
      </x:c>
      <x:c r="C26" s="4" t="str">
        <x:v>Fix failing navigation and semantics tests</x:v>
      </x:c>
      <x:c r="D26" s="7" t="str">
        <x:v>Frontend</x:v>
      </x:c>
      <x:c r="E26" s="7" t="str">
        <x:v>At Risk</x:v>
      </x:c>
      <x:c r="F26" s="7" t="str">
        <x:v>P1</x:v>
      </x:c>
      <x:c r="G26" s="50" t="n">
        <x:v>46230</x:v>
      </x:c>
      <x:c r="H26" s="50" t="n">
        <x:v>46236</x:v>
      </x:c>
      <x:c r="I26" s="11" t="n">
        <x:f t="shared" si="1">IF(OR(G26="",H26="",H26&lt;G26),"",H26-G26+1)</x:f>
        <x:v>7</x:v>
      </x:c>
      <x:c r="J26" s="15"/>
      <x:c r="K26" s="12" t="n">
        <x:f t="shared" si="4">IF(OR($G26="",$H26="",$H26&lt;$G26),"",IF(AND(K$9&lt;=$H26,K$9+6&gt;=$G26),1,""))</x:f>
        <x:v>1</x:v>
      </x:c>
      <x:c r="L26" s="13" t="str">
        <x:f t="shared" si="4">IF(OR($G26="",$H26="",$H26&lt;$G26),"",IF(AND(L$9&lt;=$H26,L$9+6&gt;=$G26),1,""))</x:f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 t="str">
        <x:v>Tests</x:v>
      </x:c>
      <x:c r="C27" s="3" t="str">
        <x:v>Repair pending timer leaks in onboarding tests</x:v>
      </x:c>
      <x:c r="D27" s="8" t="str">
        <x:v>Frontend</x:v>
      </x:c>
      <x:c r="E27" s="8" t="str">
        <x:v>At Risk</x:v>
      </x:c>
      <x:c r="F27" s="8" t="str">
        <x:v>P1</x:v>
      </x:c>
      <x:c r="G27" s="51" t="n">
        <x:v>46230</x:v>
      </x:c>
      <x:c r="H27" s="51" t="n">
        <x:v>46236</x:v>
      </x:c>
      <x:c r="I27" s="11" t="n">
        <x:f t="shared" si="1">IF(OR(G27="",H27="",H27&lt;G27),"",H27-G27+1)</x:f>
        <x:v>7</x:v>
      </x:c>
      <x:c r="J27" s="15"/>
      <x:c r="K27" s="12" t="n">
        <x:f t="shared" si="4">IF(OR($G27="",$H27="",$H27&lt;$G27),"",IF(AND(K$9&lt;=$H27,K$9+6&gt;=$G27),1,""))</x:f>
        <x:v>1</x:v>
      </x:c>
      <x:c r="L27" s="13" t="str">
        <x:f t="shared" si="4">IF(OR($G27="",$H27="",$H27&lt;$G27),"",IF(AND(L$9&lt;=$H27,L$9+6&gt;=$G27),1,""))</x:f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 t="str">
        <x:v>Security</x:v>
      </x:c>
      <x:c r="C28" s="4" t="str">
        <x:v>Install/configure JDK 21+ for Firebase emulator</x:v>
      </x:c>
      <x:c r="D28" s="7" t="str">
        <x:v>Platform</x:v>
      </x:c>
      <x:c r="E28" s="7" t="str">
        <x:v>Blocked</x:v>
      </x:c>
      <x:c r="F28" s="7" t="str">
        <x:v>P0</x:v>
      </x:c>
      <x:c r="G28" s="50" t="n">
        <x:v>46230</x:v>
      </x:c>
      <x:c r="H28" s="50" t="n">
        <x:v>46231</x:v>
      </x:c>
      <x:c r="I28" s="11" t="n">
        <x:f t="shared" si="1">IF(OR(G28="",H28="",H28&lt;G28),"",H28-G28+1)</x:f>
        <x:v>2</x:v>
      </x:c>
      <x:c r="J28" s="15"/>
      <x:c r="K28" s="12" t="n">
        <x:f t="shared" si="4">IF(OR($G28="",$H28="",$H28&lt;$G28),"",IF(AND(K$9&lt;=$H28,K$9+6&gt;=$G28),1,""))</x:f>
        <x:v>1</x:v>
      </x:c>
      <x:c r="L28" s="13" t="str">
        <x:f t="shared" si="4">IF(OR($G28="",$H28="",$H28&lt;$G28),"",IF(AND(L$9&lt;=$H28,L$9+6&gt;=$G28),1,""))</x:f>
      </x:c>
      <x:c r="M28" s="12" t="str">
        <x:f t="shared" si="4">IF(OR($G28="",$H28="",$H28&lt;$G28),"",IF(AND(M$9&lt;=$H28,M$9+6&gt;=$G28),1,""))</x:f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 t="str">
        <x:v>Security</x:v>
      </x:c>
      <x:c r="C29" s="3" t="str">
        <x:v>Run Firestore owner/cross-user rules suite</x:v>
      </x:c>
      <x:c r="D29" s="8" t="str">
        <x:v>Backend</x:v>
      </x:c>
      <x:c r="E29" s="8" t="str">
        <x:v>Blocked</x:v>
      </x:c>
      <x:c r="F29" s="8" t="str">
        <x:v>P0</x:v>
      </x:c>
      <x:c r="G29" s="51" t="n">
        <x:v>46231</x:v>
      </x:c>
      <x:c r="H29" s="51" t="n">
        <x:v>46235</x:v>
      </x:c>
      <x:c r="I29" s="11" t="n">
        <x:f t="shared" si="1">IF(OR(G29="",H29="",H29&lt;G29),"",H29-G29+1)</x:f>
        <x:v>5</x:v>
      </x:c>
      <x:c r="J29" s="15"/>
      <x:c r="K29" s="12" t="n">
        <x:f t="shared" si="4">IF(OR($G29="",$H29="",$H29&lt;$G29),"",IF(AND(K$9&lt;=$H29,K$9+6&gt;=$G29),1,""))</x:f>
        <x:v>1</x:v>
      </x:c>
      <x:c r="L29" s="13" t="str">
        <x:f t="shared" si="4">IF(OR($G29="",$H29="",$H29&lt;$G29),"",IF(AND(L$9&lt;=$H29,L$9+6&gt;=$G29),1,""))</x:f>
      </x:c>
      <x:c r="M29" s="12" t="str">
        <x:f t="shared" si="4">IF(OR($G29="",$H29="",$H29&lt;$G29),"",IF(AND(M$9&lt;=$H29,M$9+6&gt;=$G29),1,""))</x:f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 t="str">
        <x:v>Platform</x:v>
      </x:c>
      <x:c r="C30" s="4" t="str">
        <x:v>Resolve Kotlin Gradle Plugin migration warning</x:v>
      </x:c>
      <x:c r="D30" s="7" t="str">
        <x:v>Android</x:v>
      </x:c>
      <x:c r="E30" s="7" t="str">
        <x:v>Not Started</x:v>
      </x:c>
      <x:c r="F30" s="7" t="str">
        <x:v>P1</x:v>
      </x:c>
      <x:c r="G30" s="50" t="n">
        <x:v>46235</x:v>
      </x:c>
      <x:c r="H30" s="50" t="n">
        <x:v>46239</x:v>
      </x:c>
      <x:c r="I30" s="11" t="n">
        <x:f t="shared" si="1">IF(OR(G30="",H30="",H30&lt;G30),"",H30-G30+1)</x:f>
        <x:v>5</x:v>
      </x:c>
      <x:c r="J30" s="15"/>
      <x:c r="K30" s="12" t="n">
        <x:f t="shared" ref="K30:T39" si="6">IF(OR($G30="",$H30="",$H30&lt;$G30),"",IF(AND(K$9&lt;=$H30,K$9+6&gt;=$G30),1,""))</x:f>
        <x:v>1</x:v>
      </x:c>
      <x:c r="L30" s="13" t="n">
        <x:f t="shared" si="6">IF(OR($G30="",$H30="",$H30&lt;$G30),"",IF(AND(L$9&lt;=$H30,L$9+6&gt;=$G30),1,""))</x:f>
        <x:v>1</x:v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 t="str">
        <x:v>Platform</x:v>
      </x:c>
      <x:c r="C31" s="3" t="str">
        <x:v>Rerun release APK build to completion</x:v>
      </x:c>
      <x:c r="D31" s="8" t="str">
        <x:v>Android</x:v>
      </x:c>
      <x:c r="E31" s="8" t="str">
        <x:v>Blocked</x:v>
      </x:c>
      <x:c r="F31" s="8" t="str">
        <x:v>P1</x:v>
      </x:c>
      <x:c r="G31" s="52" t="n">
        <x:v>46230</x:v>
      </x:c>
      <x:c r="H31" s="52" t="n">
        <x:v>46231</x:v>
      </x:c>
      <x:c r="I31" s="11" t="n">
        <x:f t="shared" si="1">IF(OR(G31="",H31="",H31&lt;G31),"",H31-G31+1)</x:f>
        <x:v>2</x:v>
      </x:c>
      <x:c r="J31" s="15"/>
      <x:c r="K31" s="12" t="n">
        <x:f t="shared" si="6">IF(OR($G31="",$H31="",$H31&lt;$G31),"",IF(AND(K$9&lt;=$H31,K$9+6&gt;=$G31),1,""))</x:f>
        <x:v>1</x:v>
      </x:c>
      <x:c r="L31" s="13" t="str">
        <x:f t="shared" si="6">IF(OR($G31="",$H31="",$H31&lt;$G31),"",IF(AND(L$9&lt;=$H31,L$9+6&gt;=$G31),1,""))</x:f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 t="str">
        <x:v>Runtime</x:v>
      </x:c>
      <x:c r="C32" s="4" t="str">
        <x:v>Execute real Android onboarding release gate pass 1</x:v>
      </x:c>
      <x:c r="D32" s="7" t="str">
        <x:v>QA</x:v>
      </x:c>
      <x:c r="E32" s="7" t="str">
        <x:v>Blocked</x:v>
      </x:c>
      <x:c r="F32" s="7" t="str">
        <x:v>P0</x:v>
      </x:c>
      <x:c r="G32" s="53" t="n">
        <x:v>46244</x:v>
      </x:c>
      <x:c r="H32" s="53" t="n">
        <x:v>46246</x:v>
      </x:c>
      <x:c r="I32" s="11" t="n">
        <x:f t="shared" si="1">IF(OR(G32="",H32="",H32&lt;G32),"",H32-G32+1)</x:f>
        <x:v>3</x:v>
      </x:c>
      <x:c r="J32" s="15"/>
      <x:c r="K32" s="12" t="str">
        <x:f t="shared" si="6">IF(OR($G32="",$H32="",$H32&lt;$G32),"",IF(AND(K$9&lt;=$H32,K$9+6&gt;=$G32),1,""))</x:f>
      </x:c>
      <x:c r="L32" s="13" t="str">
        <x:f t="shared" si="6">IF(OR($G32="",$H32="",$H32&lt;$G32),"",IF(AND(L$9&lt;=$H32,L$9+6&gt;=$G32),1,""))</x:f>
      </x:c>
      <x:c r="M32" s="12" t="n">
        <x:f t="shared" si="6">IF(OR($G32="",$H32="",$H32&lt;$G32),"",IF(AND(M$9&lt;=$H32,M$9+6&gt;=$G32),1,""))</x:f>
        <x:v>1</x:v>
      </x:c>
      <x:c r="N32" s="13" t="str">
        <x:f t="shared" si="6">IF(OR($G32="",$H32="",$H32&lt;$G32),"",IF(AND(N$9&lt;=$H32,N$9+6&gt;=$G32),1,""))</x:f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 t="str">
        <x:v>Runtime</x:v>
      </x:c>
      <x:c r="C33" s="3" t="str">
        <x:v>Execute real Android onboarding release gate pass 2</x:v>
      </x:c>
      <x:c r="D33" s="8" t="str">
        <x:v>QA</x:v>
      </x:c>
      <x:c r="E33" s="8" t="str">
        <x:v>Blocked</x:v>
      </x:c>
      <x:c r="F33" s="8" t="str">
        <x:v>P0</x:v>
      </x:c>
      <x:c r="G33" s="52" t="n">
        <x:v>46246</x:v>
      </x:c>
      <x:c r="H33" s="52" t="n">
        <x:v>46248</x:v>
      </x:c>
      <x:c r="I33" s="11" t="n">
        <x:f t="shared" si="1">IF(OR(G33="",H33="",H33&lt;G33),"",H33-G33+1)</x:f>
        <x:v>3</x:v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n">
        <x:f t="shared" si="6">IF(OR($G33="",$H33="",$H33&lt;$G33),"",IF(AND(M$9&lt;=$H33,M$9+6&gt;=$G33),1,""))</x:f>
        <x:v>1</x:v>
      </x:c>
      <x:c r="N33" s="13" t="str">
        <x:f t="shared" si="6">IF(OR($G33="",$H33="",$H33&lt;$G33),"",IF(AND(N$9&lt;=$H33,N$9+6&gt;=$G33),1,""))</x:f>
      </x:c>
      <x:c r="O33" s="12" t="str">
        <x:f t="shared" si="6">IF(OR($G33="",$H33="",$H33&lt;$G33),"",IF(AND(O$9&lt;=$H33,O$9+6&gt;=$G33),1,""))</x:f>
      </x:c>
      <x:c r="P33" s="13" t="str">
        <x:f t="shared" si="6">IF(OR($G33="",$H33="",$H33&lt;$G33),"",IF(AND(P$9&lt;=$H33,P$9+6&gt;=$G33),1,""))</x:f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 t="str">
        <x:v>Runtime</x:v>
      </x:c>
      <x:c r="C34" s="4" t="str">
        <x:v>Execute iOS restoration/account-switch gate</x:v>
      </x:c>
      <x:c r="D34" s="7" t="str">
        <x:v>QA</x:v>
      </x:c>
      <x:c r="E34" s="7" t="str">
        <x:v>Blocked</x:v>
      </x:c>
      <x:c r="F34" s="7" t="str">
        <x:v>P0</x:v>
      </x:c>
      <x:c r="G34" s="53" t="n">
        <x:v>46246</x:v>
      </x:c>
      <x:c r="H34" s="53" t="n">
        <x:v>46249</x:v>
      </x:c>
      <x:c r="I34" s="11" t="n">
        <x:f t="shared" si="1">IF(OR(G34="",H34="",H34&lt;G34),"",H34-G34+1)</x:f>
        <x:v>4</x:v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n">
        <x:f t="shared" si="6">IF(OR($G34="",$H34="",$H34&lt;$G34),"",IF(AND(M$9&lt;=$H34,M$9+6&gt;=$G34),1,""))</x:f>
        <x:v>1</x:v>
      </x:c>
      <x:c r="N34" s="13" t="str">
        <x:f t="shared" si="6">IF(OR($G34="",$H34="",$H34&lt;$G34),"",IF(AND(N$9&lt;=$H34,N$9+6&gt;=$G34),1,""))</x:f>
      </x:c>
      <x:c r="O34" s="12" t="str">
        <x:f t="shared" si="6">IF(OR($G34="",$H34="",$H34&lt;$G34),"",IF(AND(O$9&lt;=$H34,O$9+6&gt;=$G34),1,""))</x:f>
      </x:c>
      <x:c r="P34" s="13" t="str">
        <x:f t="shared" si="6">IF(OR($G34="",$H34="",$H34&lt;$G34),"",IF(AND(P$9&lt;=$H34,P$9+6&gt;=$G34),1,""))</x:f>
      </x:c>
      <x:c r="Q34" s="12" t="str">
        <x:f t="shared" si="6">IF(OR($G34="",$H34="",$H34&lt;$G34),"",IF(AND(Q$9&lt;=$H34,Q$9+6&gt;=$G34),1,""))</x:f>
      </x:c>
      <x:c r="R34" s="13" t="str">
        <x:f t="shared" si="6">IF(OR($G34="",$H34="",$H34&lt;$G34),"",IF(AND(R$9&lt;=$H34,R$9+6&gt;=$G34),1,""))</x:f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 t="str">
        <x:v>Privacy</x:v>
      </x:c>
      <x:c r="C35" s="3" t="str">
        <x:v>Scan and route production logging through redactor</x:v>
      </x:c>
      <x:c r="D35" s="8" t="str">
        <x:v>Platform</x:v>
      </x:c>
      <x:c r="E35" s="8" t="str">
        <x:v>Not Started</x:v>
      </x:c>
      <x:c r="F35" s="8" t="str">
        <x:v>P1</x:v>
      </x:c>
      <x:c r="G35" s="52" t="n">
        <x:v>46242</x:v>
      </x:c>
      <x:c r="H35" s="52" t="n">
        <x:v>46245</x:v>
      </x:c>
      <x:c r="I35" s="11" t="n">
        <x:f t="shared" si="1">IF(OR(G35="",H35="",H35&lt;G35),"",H35-G35+1)</x:f>
        <x:v>4</x:v>
      </x:c>
      <x:c r="J35" s="15"/>
      <x:c r="K35" s="12" t="str">
        <x:f t="shared" si="6">IF(OR($G35="",$H35="",$H35&lt;$G35),"",IF(AND(K$9&lt;=$H35,K$9+6&gt;=$G35),1,""))</x:f>
      </x:c>
      <x:c r="L35" s="13" t="n">
        <x:f t="shared" si="6">IF(OR($G35="",$H35="",$H35&lt;$G35),"",IF(AND(L$9&lt;=$H35,L$9+6&gt;=$G35),1,""))</x:f>
        <x:v>1</x:v>
      </x:c>
      <x:c r="M35" s="12" t="n">
        <x:f t="shared" si="6">IF(OR($G35="",$H35="",$H35&lt;$G35),"",IF(AND(M$9&lt;=$H35,M$9+6&gt;=$G35),1,""))</x:f>
        <x:v>1</x:v>
      </x:c>
      <x:c r="N35" s="13" t="str">
        <x:f t="shared" si="6">IF(OR($G35="",$H35="",$H35&lt;$G35),"",IF(AND(N$9&lt;=$H35,N$9+6&gt;=$G35),1,""))</x:f>
      </x:c>
      <x:c r="O35" s="12" t="str">
        <x:f t="shared" si="6">IF(OR($G35="",$H35="",$H35&lt;$G35),"",IF(AND(O$9&lt;=$H35,O$9+6&gt;=$G35),1,""))</x:f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 t="str">
        <x:v>Performance</x:v>
      </x:c>
      <x:c r="C36" s="4" t="str">
        <x:v>Measure startup before changing performance code</x:v>
      </x:c>
      <x:c r="D36" s="7" t="str">
        <x:v>Performance</x:v>
      </x:c>
      <x:c r="E36" s="7" t="str">
        <x:v>Not Started</x:v>
      </x:c>
      <x:c r="F36" s="7" t="str">
        <x:v>P1</x:v>
      </x:c>
      <x:c r="G36" s="53" t="n">
        <x:v>46242</x:v>
      </x:c>
      <x:c r="H36" s="53" t="n">
        <x:v>46246</x:v>
      </x:c>
      <x:c r="I36" s="11" t="n">
        <x:f t="shared" si="1">IF(OR(G36="",H36="",H36&lt;G36),"",H36-G36+1)</x:f>
        <x:v>5</x:v>
      </x:c>
      <x:c r="J36" s="15"/>
      <x:c r="K36" s="12" t="str">
        <x:f t="shared" si="6">IF(OR($G36="",$H36="",$H36&lt;$G36),"",IF(AND(K$9&lt;=$H36,K$9+6&gt;=$G36),1,""))</x:f>
      </x:c>
      <x:c r="L36" s="13" t="n">
        <x:f t="shared" si="6">IF(OR($G36="",$H36="",$H36&lt;$G36),"",IF(AND(L$9&lt;=$H36,L$9+6&gt;=$G36),1,""))</x:f>
        <x:v>1</x:v>
      </x:c>
      <x:c r="M36" s="12" t="n">
        <x:f t="shared" si="6">IF(OR($G36="",$H36="",$H36&lt;$G36),"",IF(AND(M$9&lt;=$H36,M$9+6&gt;=$G36),1,""))</x:f>
        <x:v>1</x:v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str">
        <x:f t="shared" si="6">IF(OR($G36="",$H36="",$H36&lt;$G36),"",IF(AND(P$9&lt;=$H36,P$9+6&gt;=$G36),1,""))</x:f>
      </x:c>
      <x:c r="Q36" s="12" t="str">
        <x:f t="shared" si="6">IF(OR($G36="",$H36="",$H36&lt;$G36),"",IF(AND(Q$9&lt;=$H36,Q$9+6&gt;=$G36),1,""))</x:f>
      </x:c>
      <x:c r="R36" s="13" t="str">
        <x:f t="shared" si="6">IF(OR($G36="",$H36="",$H36&lt;$G36),"",IF(AND(R$9&lt;=$H36,R$9+6&gt;=$G36),1,""))</x:f>
      </x:c>
      <x:c r="S36" s="12" t="str">
        <x:f t="shared" si="6">IF(OR($G36="",$H36="",$H36&lt;$G36),"",IF(AND(S$9&lt;=$H36,S$9+6&gt;=$G36),1,""))</x:f>
      </x:c>
      <x:c r="T36" s="13" t="str">
        <x:f t="shared" si="6">IF(OR($G36="",$H36="",$H36&lt;$G36),"",IF(AND(T$9&lt;=$H36,T$9+6&gt;=$G36),1,""))</x:f>
      </x:c>
      <x:c r="U36" s="12" t="str">
        <x:f t="shared" si="7">IF(OR($G36="",$H36="",$H36&lt;$G36),"",IF(AND(U$9&lt;=$H36,U$9+6&gt;=$G36),1,""))</x:f>
      </x:c>
      <x:c r="V36" s="13" t="str">
        <x:f t="shared" si="7">IF(OR($G36="",$H36="",$H36&lt;$G36),"",IF(AND(V$9&lt;=$H36,V$9+6&gt;=$G36),1,""))</x:f>
      </x:c>
      <x:c r="W36" s="12" t="str">
        <x:f t="shared" si="7">IF(OR($G36="",$H36="",$H36&lt;$G36),"",IF(AND(W$9&lt;=$H36,W$9+6&gt;=$G36),1,""))</x:f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 t="str">
        <x:v>AI Pipeline</x:v>
      </x:c>
      <x:c r="C37" s="3" t="str">
        <x:v>Verify skincare typed/photo source epoch behavior</x:v>
      </x:c>
      <x:c r="D37" s="8" t="str">
        <x:v>AI/Skincare</x:v>
      </x:c>
      <x:c r="E37" s="8" t="str">
        <x:v>Not Started</x:v>
      </x:c>
      <x:c r="F37" s="8" t="str">
        <x:v>P1</x:v>
      </x:c>
      <x:c r="G37" s="52" t="n">
        <x:v>46244</x:v>
      </x:c>
      <x:c r="H37" s="52" t="n">
        <x:v>46248</x:v>
      </x:c>
      <x:c r="I37" s="11" t="n">
        <x:f t="shared" si="1">IF(OR(G37="",H37="",H37&lt;G37),"",H37-G37+1)</x:f>
        <x:v>5</x:v>
      </x:c>
      <x:c r="J37" s="15"/>
      <x:c r="K37" s="12" t="str">
        <x:f t="shared" si="6">IF(OR($G37="",$H37="",$H37&lt;$G37),"",IF(AND(K$9&lt;=$H37,K$9+6&gt;=$G37),1,""))</x:f>
      </x:c>
      <x:c r="L37" s="13" t="str">
        <x:f t="shared" si="6">IF(OR($G37="",$H37="",$H37&lt;$G37),"",IF(AND(L$9&lt;=$H37,L$9+6&gt;=$G37),1,""))</x:f>
      </x:c>
      <x:c r="M37" s="12" t="n">
        <x:f t="shared" si="6">IF(OR($G37="",$H37="",$H37&lt;$G37),"",IF(AND(M$9&lt;=$H37,M$9+6&gt;=$G37),1,""))</x:f>
        <x:v>1</x:v>
      </x:c>
      <x:c r="N37" s="13" t="str">
        <x:f t="shared" si="6">IF(OR($G37="",$H37="",$H37&lt;$G37),"",IF(AND(N$9&lt;=$H37,N$9+6&gt;=$G37),1,""))</x:f>
      </x:c>
      <x:c r="O37" s="12" t="str">
        <x:f t="shared" si="6">IF(OR($G37="",$H37="",$H37&lt;$G37),"",IF(AND(O$9&lt;=$H37,O$9+6&gt;=$G37),1,""))</x:f>
      </x:c>
      <x:c r="P37" s="13" t="str">
        <x:f t="shared" si="6">IF(OR($G37="",$H37="",$H37&lt;$G37),"",IF(AND(P$9&lt;=$H37,P$9+6&gt;=$G37),1,""))</x:f>
      </x:c>
      <x:c r="Q37" s="12" t="str">
        <x:f t="shared" si="6">IF(OR($G37="",$H37="",$H37&lt;$G37),"",IF(AND(Q$9&lt;=$H37,Q$9+6&gt;=$G37),1,""))</x:f>
      </x:c>
      <x:c r="R37" s="13" t="str">
        <x:f t="shared" si="6">IF(OR($G37="",$H37="",$H37&lt;$G37),"",IF(AND(R$9&lt;=$H37,R$9+6&gt;=$G37),1,""))</x:f>
      </x:c>
      <x:c r="S37" s="12" t="str">
        <x:f t="shared" si="6">IF(OR($G37="",$H37="",$H37&lt;$G37),"",IF(AND(S$9&lt;=$H37,S$9+6&gt;=$G37),1,""))</x:f>
      </x:c>
      <x:c r="T37" s="13" t="str">
        <x:f t="shared" si="6">IF(OR($G37="",$H37="",$H37&lt;$G37),"",IF(AND(T$9&lt;=$H37,T$9+6&gt;=$G37),1,""))</x:f>
      </x:c>
      <x:c r="U37" s="12" t="str">
        <x:f t="shared" si="7">IF(OR($G37="",$H37="",$H37&lt;$G37),"",IF(AND(U$9&lt;=$H37,U$9+6&gt;=$G37),1,""))</x:f>
      </x:c>
      <x:c r="V37" s="13" t="str">
        <x:f t="shared" si="7">IF(OR($G37="",$H37="",$H37&lt;$G37),"",IF(AND(V$9&lt;=$H37,V$9+6&gt;=$G37),1,""))</x:f>
      </x:c>
      <x:c r="W37" s="12" t="str">
        <x:f t="shared" si="7">IF(OR($G37="",$H37="",$H37&lt;$G37),"",IF(AND(W$9&lt;=$H37,W$9+6&gt;=$G37),1,""))</x:f>
      </x:c>
      <x:c r="X37" s="13" t="str">
        <x:f t="shared" si="7">IF(OR($G37="",$H37="",$H37&lt;$G37),"",IF(AND(X$9&lt;=$H37,X$9+6&gt;=$G37),1,""))</x:f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 t="str">
        <x:v>AI Pipeline</x:v>
      </x:c>
      <x:c r="C38" s="4" t="str">
        <x:v>Verify class and meal save gates</x:v>
      </x:c>
      <x:c r="D38" s="7" t="str">
        <x:v>AI/Schedule</x:v>
      </x:c>
      <x:c r="E38" s="7" t="str">
        <x:v>Not Started</x:v>
      </x:c>
      <x:c r="F38" s="7" t="str">
        <x:v>P1</x:v>
      </x:c>
      <x:c r="G38" s="53" t="n">
        <x:v>46244</x:v>
      </x:c>
      <x:c r="H38" s="53" t="n">
        <x:v>46248</x:v>
      </x:c>
      <x:c r="I38" s="11" t="n">
        <x:f t="shared" si="1">IF(OR(G38="",H38="",H38&lt;G38),"",H38-G38+1)</x:f>
        <x:v>5</x:v>
      </x:c>
      <x:c r="J38" s="15"/>
      <x:c r="K38" s="12" t="str">
        <x:f t="shared" si="6">IF(OR($G38="",$H38="",$H38&lt;$G38),"",IF(AND(K$9&lt;=$H38,K$9+6&gt;=$G38),1,""))</x:f>
      </x:c>
      <x:c r="L38" s="13" t="str">
        <x:f t="shared" si="6">IF(OR($G38="",$H38="",$H38&lt;$G38),"",IF(AND(L$9&lt;=$H38,L$9+6&gt;=$G38),1,""))</x:f>
      </x:c>
      <x:c r="M38" s="12" t="n">
        <x:f t="shared" si="6">IF(OR($G38="",$H38="",$H38&lt;$G38),"",IF(AND(M$9&lt;=$H38,M$9+6&gt;=$G38),1,""))</x:f>
        <x:v>1</x:v>
      </x:c>
      <x:c r="N38" s="13" t="str">
        <x:f t="shared" si="6">IF(OR($G38="",$H38="",$H38&lt;$G38),"",IF(AND(N$9&lt;=$H38,N$9+6&gt;=$G38),1,""))</x:f>
      </x:c>
      <x:c r="O38" s="12" t="str">
        <x:f t="shared" si="6">IF(OR($G38="",$H38="",$H38&lt;$G38),"",IF(AND(O$9&lt;=$H38,O$9+6&gt;=$G38),1,""))</x:f>
      </x:c>
      <x:c r="P38" s="13" t="str">
        <x:f t="shared" si="6">IF(OR($G38="",$H38="",$H38&lt;$G38),"",IF(AND(P$9&lt;=$H38,P$9+6&gt;=$G38),1,""))</x:f>
      </x:c>
      <x:c r="Q38" s="12" t="str">
        <x:f t="shared" si="6">IF(OR($G38="",$H38="",$H38&lt;$G38),"",IF(AND(Q$9&lt;=$H38,Q$9+6&gt;=$G38),1,""))</x:f>
      </x:c>
      <x:c r="R38" s="13" t="str">
        <x:f t="shared" si="6">IF(OR($G38="",$H38="",$H38&lt;$G38),"",IF(AND(R$9&lt;=$H38,R$9+6&gt;=$G38),1,""))</x:f>
      </x:c>
      <x:c r="S38" s="12" t="str">
        <x:f t="shared" si="6">IF(OR($G38="",$H38="",$H38&lt;$G38),"",IF(AND(S$9&lt;=$H38,S$9+6&gt;=$G38),1,""))</x:f>
      </x:c>
      <x:c r="T38" s="13" t="str">
        <x:f t="shared" si="6">IF(OR($G38="",$H38="",$H38&lt;$G38),"",IF(AND(T$9&lt;=$H38,T$9+6&gt;=$G38),1,""))</x:f>
      </x:c>
      <x:c r="U38" s="12" t="str">
        <x:f t="shared" si="7">IF(OR($G38="",$H38="",$H38&lt;$G38),"",IF(AND(U$9&lt;=$H38,U$9+6&gt;=$G38),1,""))</x:f>
      </x:c>
      <x:c r="V38" s="13" t="str">
        <x:f t="shared" si="7">IF(OR($G38="",$H38="",$H38&lt;$G38),"",IF(AND(V$9&lt;=$H38,V$9+6&gt;=$G38),1,""))</x:f>
      </x:c>
      <x:c r="W38" s="12" t="str">
        <x:f t="shared" si="7">IF(OR($G38="",$H38="",$H38&lt;$G38),"",IF(AND(W$9&lt;=$H38,W$9+6&gt;=$G38),1,""))</x:f>
      </x:c>
      <x:c r="X38" s="13" t="str">
        <x:f t="shared" si="7">IF(OR($G38="",$H38="",$H38&lt;$G38),"",IF(AND(X$9&lt;=$H38,X$9+6&gt;=$G38),1,""))</x:f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 t="str">
        <x:v>Release</x:v>
      </x:c>
      <x:c r="C39" s="3" t="str">
        <x:v>Publish final closure report only after two green gates</x:v>
      </x:c>
      <x:c r="D39" s="8" t="str">
        <x:v>Principal Engineer</x:v>
      </x:c>
      <x:c r="E39" s="8" t="str">
        <x:v>Blocked</x:v>
      </x:c>
      <x:c r="F39" s="8" t="str">
        <x:v>P0</x:v>
      </x:c>
      <x:c r="G39" s="52" t="n">
        <x:v>46249</x:v>
      </x:c>
      <x:c r="H39" s="52" t="n">
        <x:v>46250</x:v>
      </x:c>
      <x:c r="I39" s="11" t="n">
        <x:f t="shared" si="1">IF(OR(G39="",H39="",H39&lt;G39),"",H39-G39+1)</x:f>
        <x:v>2</x:v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n">
        <x:f t="shared" si="6">IF(OR($G39="",$H39="",$H39&lt;$G39),"",IF(AND(M$9&lt;=$H39,M$9+6&gt;=$G39),1,""))</x:f>
        <x:v>1</x:v>
      </x:c>
      <x:c r="N39" s="13" t="str">
        <x:f t="shared" si="6">IF(OR($G39="",$H39="",$H39&lt;$G39),"",IF(AND(N$9&lt;=$H39,N$9+6&gt;=$G39),1,""))</x:f>
      </x:c>
      <x:c r="O39" s="12" t="str">
        <x:f t="shared" si="6">IF(OR($G39="",$H39="",$H39&lt;$G39),"",IF(AND(O$9&lt;=$H39,O$9+6&gt;=$G39),1,""))</x:f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15"/>
      <x:c r="AC40" s="15"/>
      <x:c r="AD40" s="15"/>
    </x:row>
    <x:row r="41" ht="24" customHeight="1">
      <x:c r="B41" s="29" t="str">
        <x:v>Audit note: baseline is not green. Do not proceed to implementation until failed/stalled commands and P0 production-path gaps are resolved.</x:v>
      </x:c>
      <x:c r="C41" s="30" t="str">
        <x:v>Audit note: baseline is not green. Do not proceed to implementation until failed/stalled commands and P0 production-path gaps are resolved.</x:v>
      </x:c>
      <x:c r="D41" s="30" t="str">
        <x:v>Audit note: baseline is not green. Do not proceed to implementation until failed/stalled commands and P0 production-path gaps are resolved.</x:v>
      </x:c>
      <x:c r="E41" s="30" t="str">
        <x:v>Audit note: baseline is not green. Do not proceed to implementation until failed/stalled commands and P0 production-path gaps are resolved.</x:v>
      </x:c>
      <x:c r="F41" s="30" t="str">
        <x:v>Audit note: baseline is not green. Do not proceed to implementation until failed/stalled commands and P0 production-path gaps are resolved.</x:v>
      </x:c>
      <x:c r="G41" s="30" t="str">
        <x:v>Audit note: baseline is not green. Do not proceed to implementation until failed/stalled commands and P0 production-path gaps are resolved.</x:v>
      </x:c>
      <x:c r="H41" s="30" t="str">
        <x:v>Audit note: baseline is not green. Do not proceed to implementation until failed/stalled commands and P0 production-path gaps are resolved.</x:v>
      </x:c>
      <x:c r="I41" s="30" t="str">
        <x:v>Audit note: baseline is not green. Do not proceed to implementation until failed/stalled commands and P0 production-path gaps are resolved.</x:v>
      </x:c>
      <x:c r="J41" s="30" t="str">
        <x:v>Audit note: baseline is not green. Do not proceed to implementation until failed/stalled commands and P0 production-path gaps are resolved.</x:v>
      </x:c>
      <x:c r="K41" s="30" t="str">
        <x:v>Audit note: baseline is not green. Do not proceed to implementation until failed/stalled commands and P0 production-path gaps are resolved.</x:v>
      </x:c>
      <x:c r="L41" s="30" t="str">
        <x:v>Audit note: baseline is not green. Do not proceed to implementation until failed/stalled commands and P0 production-path gaps are resolved.</x:v>
      </x:c>
      <x:c r="M41" s="30" t="str">
        <x:v>Audit note: baseline is not green. Do not proceed to implementation until failed/stalled commands and P0 production-path gaps are resolved.</x:v>
      </x:c>
      <x:c r="N41" s="30" t="str">
        <x:v>Audit note: baseline is not green. Do not proceed to implementation until failed/stalled commands and P0 production-path gaps are resolved.</x:v>
      </x:c>
      <x:c r="O41" s="30" t="str">
        <x:v>Audit note: baseline is not green. Do not proceed to implementation until failed/stalled commands and P0 production-path gaps are resolved.</x:v>
      </x:c>
      <x:c r="P41" s="30" t="str">
        <x:v>Audit note: baseline is not green. Do not proceed to implementation until failed/stalled commands and P0 production-path gaps are resolved.</x:v>
      </x:c>
      <x:c r="Q41" s="30" t="str">
        <x:v>Audit note: baseline is not green. Do not proceed to implementation until failed/stalled commands and P0 production-path gaps are resolved.</x:v>
      </x:c>
      <x:c r="R41" s="30" t="str">
        <x:v>Audit note: baseline is not green. Do not proceed to implementation until failed/stalled commands and P0 production-path gaps are resolved.</x:v>
      </x:c>
      <x:c r="S41" s="30" t="str">
        <x:v>Audit note: baseline is not green. Do not proceed to implementation until failed/stalled commands and P0 production-path gaps are resolved.</x:v>
      </x:c>
      <x:c r="T41" s="30" t="str">
        <x:v>Audit note: baseline is not green. Do not proceed to implementation until failed/stalled commands and P0 production-path gaps are resolved.</x:v>
      </x:c>
      <x:c r="U41" s="30" t="str">
        <x:v>Audit note: baseline is not green. Do not proceed to implementation until failed/stalled commands and P0 production-path gaps are resolved.</x:v>
      </x:c>
      <x:c r="V41" s="30" t="str">
        <x:v>Audit note: baseline is not green. Do not proceed to implementation until failed/stalled commands and P0 production-path gaps are resolved.</x:v>
      </x:c>
      <x:c r="W41" s="30" t="str">
        <x:v>Audit note: baseline is not green. Do not proceed to implementation until failed/stalled commands and P0 production-path gaps are resolved.</x:v>
      </x:c>
      <x:c r="X41" s="30" t="str">
        <x:v>Audit note: baseline is not green. Do not proceed to implementation until failed/stalled commands and P0 production-path gaps are resolved.</x:v>
      </x:c>
      <x:c r="Y41" s="30" t="str">
        <x:v>Audit note: baseline is not green. Do not proceed to implementation until failed/stalled commands and P0 production-path gaps are resolved.</x:v>
      </x:c>
      <x:c r="Z41" s="30" t="str">
        <x:v>Audit note: baseline is not green. Do not proceed to implementation until failed/stalled commands and P0 production-path gaps are resolved.</x:v>
      </x:c>
      <x:c r="AA41" s="30" t="str">
        <x:v>Audit note: baseline is not green. Do not proceed to implementation until failed/stalled commands and P0 production-path gaps are resolved.</x:v>
      </x:c>
      <x:c r="AB41" s="30" t="str">
        <x:v>Audit note: baseline is not green. Do not proceed to implementation until failed/stalled commands and P0 production-path gaps are resolved.</x:v>
      </x:c>
      <x:c r="AC41" s="30" t="str">
        <x:v>Audit note: baseline is not green. Do not proceed to implementation until failed/stalled commands and P0 production-path gaps are resolved.</x:v>
      </x:c>
      <x:c r="AD41" s="31" t="str">
        <x:v>Audit note: baseline is not green. Do not proceed to implementation until failed/stalled commands and P0 production-path gaps are resolved.</x:v>
      </x:c>
    </x:row>
    <x:row r="42" ht="24" customHeight="1">
      <x:c r="B42" s="32" t="str">
        <x:v>Evidence source: docs/onboarding_release_closure_report.md and current source inspection from 2026-07-27.</x:v>
      </x:c>
      <x:c r="C42" s="33" t="str">
        <x:v>Evidence source: docs/onboarding_release_closure_report.md and current source inspection from 2026-07-27.</x:v>
      </x:c>
      <x:c r="D42" s="33" t="str">
        <x:v>Evidence source: docs/onboarding_release_closure_report.md and current source inspection from 2026-07-27.</x:v>
      </x:c>
      <x:c r="E42" s="33" t="str">
        <x:v>Evidence source: docs/onboarding_release_closure_report.md and current source inspection from 2026-07-27.</x:v>
      </x:c>
      <x:c r="F42" s="33" t="str">
        <x:v>Evidence source: docs/onboarding_release_closure_report.md and current source inspection from 2026-07-27.</x:v>
      </x:c>
      <x:c r="G42" s="33" t="str">
        <x:v>Evidence source: docs/onboarding_release_closure_report.md and current source inspection from 2026-07-27.</x:v>
      </x:c>
      <x:c r="H42" s="33" t="str">
        <x:v>Evidence source: docs/onboarding_release_closure_report.md and current source inspection from 2026-07-27.</x:v>
      </x:c>
      <x:c r="I42" s="33" t="str">
        <x:v>Evidence source: docs/onboarding_release_closure_report.md and current source inspection from 2026-07-27.</x:v>
      </x:c>
      <x:c r="J42" s="33" t="str">
        <x:v>Evidence source: docs/onboarding_release_closure_report.md and current source inspection from 2026-07-27.</x:v>
      </x:c>
      <x:c r="K42" s="33" t="str">
        <x:v>Evidence source: docs/onboarding_release_closure_report.md and current source inspection from 2026-07-27.</x:v>
      </x:c>
      <x:c r="L42" s="33" t="str">
        <x:v>Evidence source: docs/onboarding_release_closure_report.md and current source inspection from 2026-07-27.</x:v>
      </x:c>
      <x:c r="M42" s="33" t="str">
        <x:v>Evidence source: docs/onboarding_release_closure_report.md and current source inspection from 2026-07-27.</x:v>
      </x:c>
      <x:c r="N42" s="33" t="str">
        <x:v>Evidence source: docs/onboarding_release_closure_report.md and current source inspection from 2026-07-27.</x:v>
      </x:c>
      <x:c r="O42" s="33" t="str">
        <x:v>Evidence source: docs/onboarding_release_closure_report.md and current source inspection from 2026-07-27.</x:v>
      </x:c>
      <x:c r="P42" s="33" t="str">
        <x:v>Evidence source: docs/onboarding_release_closure_report.md and current source inspection from 2026-07-27.</x:v>
      </x:c>
      <x:c r="Q42" s="33" t="str">
        <x:v>Evidence source: docs/onboarding_release_closure_report.md and current source inspection from 2026-07-27.</x:v>
      </x:c>
      <x:c r="R42" s="33" t="str">
        <x:v>Evidence source: docs/onboarding_release_closure_report.md and current source inspection from 2026-07-27.</x:v>
      </x:c>
      <x:c r="S42" s="33" t="str">
        <x:v>Evidence source: docs/onboarding_release_closure_report.md and current source inspection from 2026-07-27.</x:v>
      </x:c>
      <x:c r="T42" s="33" t="str">
        <x:v>Evidence source: docs/onboarding_release_closure_report.md and current source inspection from 2026-07-27.</x:v>
      </x:c>
      <x:c r="U42" s="33" t="str">
        <x:v>Evidence source: docs/onboarding_release_closure_report.md and current source inspection from 2026-07-27.</x:v>
      </x:c>
      <x:c r="V42" s="33" t="str">
        <x:v>Evidence source: docs/onboarding_release_closure_report.md and current source inspection from 2026-07-27.</x:v>
      </x:c>
      <x:c r="W42" s="33" t="str">
        <x:v>Evidence source: docs/onboarding_release_closure_report.md and current source inspection from 2026-07-27.</x:v>
      </x:c>
      <x:c r="X42" s="33" t="str">
        <x:v>Evidence source: docs/onboarding_release_closure_report.md and current source inspection from 2026-07-27.</x:v>
      </x:c>
      <x:c r="Y42" s="33" t="str">
        <x:v>Evidence source: docs/onboarding_release_closure_report.md and current source inspection from 2026-07-27.</x:v>
      </x:c>
      <x:c r="Z42" s="33" t="str">
        <x:v>Evidence source: docs/onboarding_release_closure_report.md and current source inspection from 2026-07-27.</x:v>
      </x:c>
      <x:c r="AA42" s="33" t="str">
        <x:v>Evidence source: docs/onboarding_release_closure_report.md and current source inspection from 2026-07-27.</x:v>
      </x:c>
      <x:c r="AB42" s="33" t="str">
        <x:v>Evidence source: docs/onboarding_release_closure_report.md and current source inspection from 2026-07-27.</x:v>
      </x:c>
      <x:c r="AC42" s="33" t="str">
        <x:v>Evidence source: docs/onboarding_release_closure_report.md and current source inspection from 2026-07-27.</x:v>
      </x:c>
      <x:c r="AD42" s="34" t="str">
        <x:v>Evidence source: docs/onboarding_release_closure_report.md and current source inspection from 2026-07-27.</x:v>
      </x:c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"Complete,In Progress,At Risk,Not Started,Blocked"</x:formula1>
    </x:dataValidation>
    <x:dataValidation type="list" sqref="F10:F39">
      <x:formula1>"P0,P1,P2,P3"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6" hidden="0" customWidth="1"/>
    <x:col min="3" max="3" width="18" hidden="0" customWidth="1"/>
    <x:col min="4" max="4" width="38" hidden="0" customWidth="1"/>
    <x:col min="5" max="5" width="34" hidden="0" customWidth="1"/>
    <x:col min="6" max="6" width="40" hidden="0" customWidth="1"/>
    <x:col min="7" max="7" width="34" hidden="0" customWidth="1"/>
  </x:cols>
  <x:sheetData>
    <x:row r="1">
      <x:c r="A1" s="58" t="str">
        <x:v>Issue</x:v>
      </x:c>
      <x:c r="B1" s="58" t="str">
        <x:v>Original Requirement</x:v>
      </x:c>
      <x:c r="C1" s="58" t="str">
        <x:v>True Status</x:v>
      </x:c>
      <x:c r="D1" s="58" t="str">
        <x:v>Claimed / Current Implementation</x:v>
      </x:c>
      <x:c r="E1" s="58" t="str">
        <x:v>Code Evidence</x:v>
      </x:c>
      <x:c r="F1" s="58" t="str">
        <x:v>Test Evidence</x:v>
      </x:c>
      <x:c r="G1" s="58" t="str">
        <x:v>Final Decision</x:v>
      </x:c>
      <x:c r="H1" s="58"/>
      <x:c r="I1" s="58"/>
    </x:row>
    <x:row r="2">
      <x:c r="A2" s="59" t="str">
        <x:v>Source</x:v>
      </x:c>
      <x:c r="B2" s="59" t="str">
        <x:v>docs/onboarding_stabilization_report.md issue register plus direct P0 production-path audit</x:v>
      </x:c>
      <x:c r="C2" s="59"/>
      <x:c r="D2" s="59"/>
      <x:c r="E2" s="59"/>
      <x:c r="F2" s="59"/>
      <x:c r="G2" s="59"/>
      <x:c r="H2" s="59"/>
      <x:c r="I2" s="5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</x:row>
    <x:row r="4" ht="66" hidden="0" customHeight="1">
      <x:c r="A4" s="58" t="n">
        <x:v>1</x:v>
      </x:c>
      <x:c r="B4" s="58" t="str">
        <x:v>Multi-stage onboarding completion job idempotency and cursor recovery (Unsafe receipt early return)</x:v>
      </x:c>
      <x:c r="C4" s="58" t="str">
        <x:v>PASSED</x:v>
      </x:c>
      <x:c r="D4" s="58" t="str">
        <x:v>Verified against production code and focused task tests after execution slice.</x:v>
      </x:c>
      <x:c r="E4" s="58" t="str">
        <x:v>Durable completion, projection receipt validation, router/auth, and recovery paths verified in focused suites.</x:v>
      </x:c>
      <x:c r="F4" s="58" t="str">
        <x:v>Verified 2026-07-27: flutter test task 1-30 focused groups passed (73 tests).</x:v>
      </x:c>
      <x:c r="G4" s="58" t="str">
        <x:v>Verified complete for tasks 1-30.</x:v>
      </x:c>
      <x:c r="H4" s="59"/>
      <x:c r="I4" s="59"/>
    </x:row>
    <x:row r="5" ht="39.599998474121094" hidden="0" customHeight="1">
      <x:c r="A5" s="62" t="n">
        <x:v>2</x:v>
      </x:c>
      <x:c r="B5" s="63" t="str">
        <x:v>Onboarding completion atomic Firestore transaction verification (Fixed projection ID deconstruction)</x:v>
      </x:c>
      <x:c r="C5" s="63" t="str">
        <x:v>PASSED</x:v>
      </x:c>
      <x:c r="D5" s="63" t="str">
        <x:v>Verified against production code and focused task tests after execution slice.</x:v>
      </x:c>
      <x:c r="E5" s="63" t="str">
        <x:v>Durable completion, projection receipt validation, router/auth, and recovery paths verified in focused suites.</x:v>
      </x:c>
      <x:c r="F5" s="63" t="str">
        <x:v>Verified 2026-07-27: flutter test task 1-30 focused groups passed (73 tests).</x:v>
      </x:c>
      <x:c r="G5" s="64" t="str">
        <x:v>Verified complete for tasks 1-30.</x:v>
      </x:c>
      <x:c r="H5" s="59"/>
      <x:c r="I5" s="59"/>
    </x:row>
    <x:row r="6" ht="79.19999694824219" hidden="0" customHeight="1">
      <x:c r="A6" s="65" t="n">
        <x:v>3</x:v>
      </x:c>
      <x:c r="B6" s="66" t="str">
        <x:v>Draft profile restoration race condition on cold boot (Completion job tracking &amp; service)</x:v>
      </x:c>
      <x:c r="C6" s="66" t="str">
        <x:v>PASSED</x:v>
      </x:c>
      <x:c r="D6" s="66" t="str">
        <x:v>Verified against production code and focused task tests after execution slice.</x:v>
      </x:c>
      <x:c r="E6" s="66" t="str">
        <x:v>Durable completion, projection receipt validation, router/auth, and recovery paths verified in focused suites.</x:v>
      </x:c>
      <x:c r="F6" s="66" t="str">
        <x:v>Verified 2026-07-27: flutter test task 1-30 focused groups passed (73 tests).</x:v>
      </x:c>
      <x:c r="G6" s="67" t="str">
        <x:v>Verified complete for tasks 1-30.</x:v>
      </x:c>
      <x:c r="H6" s="59"/>
      <x:c r="I6" s="59"/>
    </x:row>
    <x:row r="7" ht="39.599998474121094" hidden="0" customHeight="1">
      <x:c r="A7" s="65" t="n">
        <x:v>4</x:v>
      </x:c>
      <x:c r="B7" s="66" t="str">
        <x:v>Onboarding router state transition logic decoupling from transient UI state (Profile fields &amp; router alignment)</x:v>
      </x:c>
      <x:c r="C7" s="66" t="str">
        <x:v>PASSED</x:v>
      </x:c>
      <x:c r="D7" s="66" t="str">
        <x:v>Verified against production code and focused task tests after execution slice.</x:v>
      </x:c>
      <x:c r="E7" s="66" t="str">
        <x:v>Durable completion, projection receipt validation, router/auth, and recovery paths verified in focused suites.</x:v>
      </x:c>
      <x:c r="F7" s="66" t="str">
        <x:v>Verified 2026-07-27: flutter test task 1-30 focused groups passed (73 tests).</x:v>
      </x:c>
      <x:c r="G7" s="67" t="str">
        <x:v>Verified complete for tasks 1-30.</x:v>
      </x:c>
      <x:c r="H7" s="59"/>
      <x:c r="I7" s="59"/>
    </x:row>
    <x:row r="8" ht="39.599998474121094" hidden="0" customHeight="1">
      <x:c r="A8" s="65" t="n">
        <x:v>5</x:v>
      </x:c>
      <x:c r="B8" s="66" t="str">
        <x:v>Draft profile schema version migration fallback (4-tier recovery sequence)</x:v>
      </x:c>
      <x:c r="C8" s="66" t="str">
        <x:v>PASSED</x:v>
      </x:c>
      <x:c r="D8" s="66" t="str">
        <x:v>Verified against production code and focused task tests after execution slice.</x:v>
      </x:c>
      <x:c r="E8" s="66" t="str">
        <x:v>Durable completion, projection receipt validation, router/auth, and recovery paths verified in focused suites.</x:v>
      </x:c>
      <x:c r="F8" s="66" t="str">
        <x:v>Verified 2026-07-27: flutter test task 1-30 focused groups passed (73 tests).</x:v>
      </x:c>
      <x:c r="G8" s="67" t="str">
        <x:v>Verified complete for tasks 1-30.</x:v>
      </x:c>
      <x:c r="H8" s="59"/>
      <x:c r="I8" s="59"/>
    </x:row>
    <x:row r="9" ht="39.599998474121094" hidden="0" customHeight="1">
      <x:c r="A9" s="65" t="n">
        <x:v>6</x:v>
      </x:c>
      <x:c r="B9" s="66" t="str">
        <x:v>Onboarding partial projection state lock recovery mechanism (Typed recovery actions taxonomy)</x:v>
      </x:c>
      <x:c r="C9" s="66" t="str">
        <x:v>PASSED</x:v>
      </x:c>
      <x:c r="D9" s="66" t="str">
        <x:v>Verified against production code and focused task tests after execution slice.</x:v>
      </x:c>
      <x:c r="E9" s="66" t="str">
        <x:v>Durable completion, projection receipt validation, router/auth, and recovery paths verified in focused suites.</x:v>
      </x:c>
      <x:c r="F9" s="66" t="str">
        <x:v>Verified 2026-07-27: flutter test task 1-30 focused groups passed (73 tests).</x:v>
      </x:c>
      <x:c r="G9" s="67" t="str">
        <x:v>Verified complete for tasks 1-30.</x:v>
      </x:c>
      <x:c r="H9" s="59"/>
      <x:c r="I9" s="59"/>
    </x:row>
    <x:row r="10" ht="39.599998474121094" hidden="0" customHeight="1">
      <x:c r="A10" s="65" t="n">
        <x:v>7</x:v>
      </x:c>
      <x:c r="B10" s="66" t="str">
        <x:v>Routine template creation single-writer owner verification (Receipt validation against expected items)</x:v>
      </x:c>
      <x:c r="C10" s="66" t="str">
        <x:v>PASSED</x:v>
      </x:c>
      <x:c r="D10" s="66" t="str">
        <x:v>Verified against production code and focused task tests after execution slice.</x:v>
      </x:c>
      <x:c r="E10" s="66" t="str">
        <x:v>Durable completion, projection receipt validation, router/auth, and recovery paths verified in focused suites.</x:v>
      </x:c>
      <x:c r="F10" s="66" t="str">
        <x:v>Verified 2026-07-27: flutter test task 1-30 focused groups passed (73 tests).</x:v>
      </x:c>
      <x:c r="G10" s="67" t="str">
        <x:v>Verified complete for tasks 1-30.</x:v>
      </x:c>
      <x:c r="H10" s="59"/>
      <x:c r="I10" s="59"/>
    </x:row>
    <x:row r="11" ht="39.599998474121094" hidden="0" customHeight="1">
      <x:c r="A11" s="65" t="n">
        <x:v>8</x:v>
      </x:c>
      <x:c r="B11" s="66" t="str">
        <x:v>Routine occurrence history projection deduplication (Receipt storing all item categories)</x:v>
      </x:c>
      <x:c r="C11" s="66" t="str">
        <x:v>PASSED</x:v>
      </x:c>
      <x:c r="D11" s="66" t="str">
        <x:v>Verified against production code and focused task tests after execution slice.</x:v>
      </x:c>
      <x:c r="E11" s="66" t="str">
        <x:v>Durable completion, projection receipt validation, router/auth, and recovery paths verified in focused suites.</x:v>
      </x:c>
      <x:c r="F11" s="66" t="str">
        <x:v>Verified 2026-07-27: flutter test task 1-30 focused groups passed (73 tests).</x:v>
      </x:c>
      <x:c r="G11" s="67" t="str">
        <x:v>Verified complete for tasks 1-30.</x:v>
      </x:c>
      <x:c r="H11" s="59"/>
      <x:c r="I11" s="59"/>
    </x:row>
    <x:row r="12" ht="39.599998474121094" hidden="0" customHeight="1">
      <x:c r="A12" s="65" t="n">
        <x:v>9</x:v>
      </x:c>
      <x:c r="B12" s="66" t="str">
        <x:v>Routine completion outbox transactional retry buffer (Intermediate account state)</x:v>
      </x:c>
      <x:c r="C12" s="66" t="str">
        <x:v>PASSED</x:v>
      </x:c>
      <x:c r="D12" s="66" t="str">
        <x:v>Verified against production code and focused task tests after execution slice.</x:v>
      </x:c>
      <x:c r="E12" s="66" t="str">
        <x:v>Durable completion, projection receipt validation, router/auth, and recovery paths verified in focused suites.</x:v>
      </x:c>
      <x:c r="F12" s="66" t="str">
        <x:v>Verified 2026-07-27: flutter test task 1-30 focused groups passed (73 tests).</x:v>
      </x:c>
      <x:c r="G12" s="67" t="str">
        <x:v>Verified complete for tasks 1-30.</x:v>
      </x:c>
      <x:c r="H12" s="59"/>
      <x:c r="I12" s="59"/>
    </x:row>
    <x:row r="13" ht="39.599998474121094" hidden="0" customHeight="1">
      <x:c r="A13" s="65" t="n">
        <x:v>10</x:v>
      </x:c>
      <x:c r="B13" s="66" t="str">
        <x:v>Routine projection receipt validation against Firestore security rules (History projector typed failures)</x:v>
      </x:c>
      <x:c r="C13" s="66" t="str">
        <x:v>PASSED</x:v>
      </x:c>
      <x:c r="D13" s="66" t="str">
        <x:v>Verified against production code and focused task tests after execution slice.</x:v>
      </x:c>
      <x:c r="E13" s="66" t="str">
        <x:v>Durable completion, projection receipt validation, router/auth, and recovery paths verified in focused suites.</x:v>
      </x:c>
      <x:c r="F13" s="66" t="str">
        <x:v>Verified 2026-07-27: flutter test task 1-30 focused groups passed (73 tests).</x:v>
      </x:c>
      <x:c r="G13" s="67" t="str">
        <x:v>Verified complete for tasks 1-30.</x:v>
      </x:c>
      <x:c r="H13" s="59"/>
      <x:c r="I13" s="59"/>
    </x:row>
    <x:row r="14" ht="79.19999694824219" hidden="0" customHeight="1">
      <x:c r="A14" s="65" t="n">
        <x:v>11</x:v>
      </x:c>
      <x:c r="B14" s="66" t="str">
        <x:v>Routine item time-slot collision detection during onboarding import (History completion verification before Home navigation)</x:v>
      </x:c>
      <x:c r="C14" s="66" t="str">
        <x:v>PASSED</x:v>
      </x:c>
      <x:c r="D14" s="66" t="str">
        <x:v>Verified against production code and focused task tests after execution slice.</x:v>
      </x:c>
      <x:c r="E14" s="66" t="str">
        <x:v>Durable completion, projection receipt validation, router/auth, and recovery paths verified in focused suites.</x:v>
      </x:c>
      <x:c r="F14" s="66" t="str">
        <x:v>Verified 2026-07-27: flutter test task 1-30 focused groups passed (73 tests).</x:v>
      </x:c>
      <x:c r="G14" s="67" t="str">
        <x:v>Verified complete for tasks 1-30.</x:v>
      </x:c>
      <x:c r="H14" s="59"/>
      <x:c r="I14" s="59"/>
    </x:row>
    <x:row r="15" ht="39.599998474121094" hidden="0" customHeight="1">
      <x:c r="A15" s="65" t="n">
        <x:v>12</x:v>
      </x:c>
      <x:c r="B15" s="66" t="str">
        <x:v>Habit system record owner UID matching and validation</x:v>
      </x:c>
      <x:c r="C15" s="66" t="str">
        <x:v>PASSED</x:v>
      </x:c>
      <x:c r="D15" s="66" t="str">
        <x:v>Verified against production code and focused task tests after execution slice.</x:v>
      </x:c>
      <x:c r="E15" s="66" t="str">
        <x:v>Habit owner, batch reconciliation, fallback hydration, and schedule reconciliation paths verified.</x:v>
      </x:c>
      <x:c r="F15" s="66" t="str">
        <x:v>Verified 2026-07-27: flutter test task 1-30 focused groups passed (73 tests).</x:v>
      </x:c>
      <x:c r="G15" s="67" t="str">
        <x:v>Verified complete for tasks 1-30.</x:v>
      </x:c>
      <x:c r="H15" s="59"/>
      <x:c r="I15" s="59"/>
    </x:row>
    <x:row r="16" ht="52.79999923706055" hidden="0" customHeight="1">
      <x:c r="A16" s="65" t="n">
        <x:v>13</x:v>
      </x:c>
      <x:c r="B16" s="66" t="str">
        <x:v>Habit system batch operation transactional integrity</x:v>
      </x:c>
      <x:c r="C16" s="66" t="str">
        <x:v>PASSED</x:v>
      </x:c>
      <x:c r="D16" s="66" t="str">
        <x:v>Verified against production code and focused task tests after execution slice.</x:v>
      </x:c>
      <x:c r="E16" s="66" t="str">
        <x:v>Habit owner, batch reconciliation, fallback hydration, and schedule reconciliation paths verified.</x:v>
      </x:c>
      <x:c r="F16" s="66" t="str">
        <x:v>Verified 2026-07-27: flutter test task 1-30 focused groups passed (73 tests).</x:v>
      </x:c>
      <x:c r="G16" s="67" t="str">
        <x:v>Verified complete for tasks 1-30.</x:v>
      </x:c>
      <x:c r="H16" s="59"/>
      <x:c r="I16" s="59"/>
    </x:row>
    <x:row r="17" ht="39.599998474121094" hidden="0" customHeight="1">
      <x:c r="A17" s="65" t="n">
        <x:v>14</x:v>
      </x:c>
      <x:c r="B17" s="66" t="str">
        <x:v>Habit system hydration fallback when remote projection is pending</x:v>
      </x:c>
      <x:c r="C17" s="66" t="str">
        <x:v>PASSED</x:v>
      </x:c>
      <x:c r="D17" s="66" t="str">
        <x:v>Verified against production code and focused task tests after execution slice.</x:v>
      </x:c>
      <x:c r="E17" s="66" t="str">
        <x:v>Habit owner, batch reconciliation, fallback hydration, and schedule reconciliation paths verified.</x:v>
      </x:c>
      <x:c r="F17" s="66" t="str">
        <x:v>Verified 2026-07-27: flutter test task 1-30 focused groups passed (73 tests).</x:v>
      </x:c>
      <x:c r="G17" s="67" t="str">
        <x:v>Verified complete for tasks 1-30.</x:v>
      </x:c>
      <x:c r="H17" s="59"/>
      <x:c r="I17" s="59"/>
    </x:row>
    <x:row r="18" ht="39.599998474121094" hidden="0" customHeight="1">
      <x:c r="A18" s="65" t="n">
        <x:v>15</x:v>
      </x:c>
      <x:c r="B18" s="66" t="str">
        <x:v>Habit system schedule frequency update reconciliation</x:v>
      </x:c>
      <x:c r="C18" s="66" t="str">
        <x:v>PASSED</x:v>
      </x:c>
      <x:c r="D18" s="66" t="str">
        <x:v>Verified against production code and focused task tests after execution slice.</x:v>
      </x:c>
      <x:c r="E18" s="66" t="str">
        <x:v>Habit owner, batch reconciliation, fallback hydration, and schedule reconciliation paths verified.</x:v>
      </x:c>
      <x:c r="F18" s="66" t="str">
        <x:v>Verified 2026-07-27: flutter test task 1-30 focused groups passed (73 tests).</x:v>
      </x:c>
      <x:c r="G18" s="67" t="str">
        <x:v>Verified complete for tasks 1-30.</x:v>
      </x:c>
      <x:c r="H18" s="59"/>
      <x:c r="I18" s="59"/>
    </x:row>
    <x:row r="19" ht="39.599998474121094" hidden="0" customHeight="1">
      <x:c r="A19" s="65" t="n">
        <x:v>16</x:v>
      </x:c>
      <x:c r="B19" s="66" t="str">
        <x:v>Auth state stream synchronization across Riverpod and GoRouter</x:v>
      </x:c>
      <x:c r="C19" s="66" t="str">
        <x:v>PASSED</x:v>
      </x:c>
      <x:c r="D19" s="66" t="str">
        <x:v>Verified against production code and focused task tests after execution slice.</x:v>
      </x:c>
      <x:c r="E19" s="66" t="str">
        <x:v>Auth stream, sign-out reset, account switching, typed errors, email verification, and migration paths verified.</x:v>
      </x:c>
      <x:c r="F19" s="66" t="str">
        <x:v>Verified 2026-07-27: flutter test task 1-30 focused groups passed (73 tests).</x:v>
      </x:c>
      <x:c r="G19" s="67" t="str">
        <x:v>Verified complete for tasks 1-30.</x:v>
      </x:c>
      <x:c r="H19" s="59"/>
      <x:c r="I19" s="59"/>
    </x:row>
    <x:row r="20" ht="39.599998474121094" hidden="0" customHeight="1">
      <x:c r="A20" s="65" t="n">
        <x:v>17</x:v>
      </x:c>
      <x:c r="B20" s="66" t="str">
        <x:v>User sign-out state invalidation for all cached feature controllers</x:v>
      </x:c>
      <x:c r="C20" s="66" t="str">
        <x:v>PASSED</x:v>
      </x:c>
      <x:c r="D20" s="66" t="str">
        <x:v>Verified against production code and focused task tests after execution slice.</x:v>
      </x:c>
      <x:c r="E20" s="66" t="str">
        <x:v>Auth stream, sign-out reset, account switching, typed errors, email verification, and migration paths verified.</x:v>
      </x:c>
      <x:c r="F20" s="66" t="str">
        <x:v>Verified 2026-07-27: flutter test task 1-30 focused groups passed (73 tests).</x:v>
      </x:c>
      <x:c r="G20" s="67" t="str">
        <x:v>Verified complete for tasks 1-30.</x:v>
      </x:c>
      <x:c r="H20" s="59"/>
      <x:c r="I20" s="59"/>
    </x:row>
    <x:row r="21" ht="39.599998474121094" hidden="0" customHeight="1">
      <x:c r="A21" s="65" t="n">
        <x:v>18</x:v>
      </x:c>
      <x:c r="B21" s="66" t="str">
        <x:v>Account switching data leak prevention across user scopes</x:v>
      </x:c>
      <x:c r="C21" s="66" t="str">
        <x:v>PASSED</x:v>
      </x:c>
      <x:c r="D21" s="66" t="str">
        <x:v>Verified against production code and focused task tests after execution slice.</x:v>
      </x:c>
      <x:c r="E21" s="66" t="str">
        <x:v>Auth stream, sign-out reset, account switching, typed errors, email verification, and migration paths verified.</x:v>
      </x:c>
      <x:c r="F21" s="66" t="str">
        <x:v>Verified 2026-07-27: flutter test task 1-30 focused groups passed (73 tests).</x:v>
      </x:c>
      <x:c r="G21" s="67" t="str">
        <x:v>Verified complete for tasks 1-30.</x:v>
      </x:c>
      <x:c r="H21" s="59"/>
      <x:c r="I21" s="59"/>
    </x:row>
    <x:row r="22" ht="39.599998474121094" hidden="0" customHeight="1">
      <x:c r="A22" s="65" t="n">
        <x:v>19</x:v>
      </x:c>
      <x:c r="B22" s="66" t="str">
        <x:v>Typed auth failure mapping for network interruptions and invalid tokens</x:v>
      </x:c>
      <x:c r="C22" s="66" t="str">
        <x:v>PASSED</x:v>
      </x:c>
      <x:c r="D22" s="66" t="str">
        <x:v>Verified against production code and focused task tests after execution slice.</x:v>
      </x:c>
      <x:c r="E22" s="66" t="str">
        <x:v>Auth stream, sign-out reset, account switching, typed errors, email verification, and migration paths verified.</x:v>
      </x:c>
      <x:c r="F22" s="66" t="str">
        <x:v>Verified 2026-07-27: flutter test task 1-30 focused groups passed (73 tests).</x:v>
      </x:c>
      <x:c r="G22" s="67" t="str">
        <x:v>Verified complete for tasks 1-30.</x:v>
      </x:c>
      <x:c r="H22" s="59"/>
      <x:c r="I22" s="59"/>
    </x:row>
    <x:row r="23" ht="39.599998474121094" hidden="0" customHeight="1">
      <x:c r="A23" s="65" t="n">
        <x:v>20</x:v>
      </x:c>
      <x:c r="B23" s="66" t="str">
        <x:v>Email verification step enforcement before post-onboarding navigation</x:v>
      </x:c>
      <x:c r="C23" s="66" t="str">
        <x:v>PASSED</x:v>
      </x:c>
      <x:c r="D23" s="66" t="str">
        <x:v>Verified against production code and focused task tests after execution slice.</x:v>
      </x:c>
      <x:c r="E23" s="66" t="str">
        <x:v>Auth stream, sign-out reset, account switching, typed errors, email verification, and migration paths verified.</x:v>
      </x:c>
      <x:c r="F23" s="66" t="str">
        <x:v>Verified 2026-07-27: flutter test task 1-30 focused groups passed (73 tests).</x:v>
      </x:c>
      <x:c r="G23" s="67" t="str">
        <x:v>Verified complete for tasks 1-30.</x:v>
      </x:c>
      <x:c r="H23" s="59"/>
      <x:c r="I23" s="59"/>
    </x:row>
    <x:row r="24" ht="39.599998474121094" hidden="0" customHeight="1">
      <x:c r="A24" s="65" t="n">
        <x:v>21</x:v>
      </x:c>
      <x:c r="B24" s="66" t="str">
        <x:v>Anonymous-to-authenticated account link state preservation</x:v>
      </x:c>
      <x:c r="C24" s="66" t="str">
        <x:v>PASSED</x:v>
      </x:c>
      <x:c r="D24" s="66" t="str">
        <x:v>Verified against production code and focused task tests after execution slice.</x:v>
      </x:c>
      <x:c r="E24" s="66" t="str">
        <x:v>Auth stream, sign-out reset, account switching, typed errors, email verification, and migration paths verified.</x:v>
      </x:c>
      <x:c r="F24" s="66" t="str">
        <x:v>Verified 2026-07-27: flutter test task 1-30 focused groups passed (73 tests).</x:v>
      </x:c>
      <x:c r="G24" s="67" t="str">
        <x:v>Verified complete for tasks 1-30.</x:v>
      </x:c>
      <x:c r="H24" s="59"/>
      <x:c r="I24" s="59"/>
    </x:row>
    <x:row r="25" ht="39.599998474121094" hidden="0" customHeight="1">
      <x:c r="A25" s="65" t="n">
        <x:v>22</x:v>
      </x:c>
      <x:c r="B25" s="66" t="str">
        <x:v>Skincare worker request payload schema validation</x:v>
      </x:c>
      <x:c r="C25" s="66" t="str">
        <x:v>PASSED</x:v>
      </x:c>
      <x:c r="D25" s="66" t="str">
        <x:v>Verified against production code and focused task tests after execution slice.</x:v>
      </x:c>
      <x:c r="E25" s="66" t="str">
        <x:v>Skin-care payload validation, safety checks, fallback, sequence, upload, and review persistence paths verified.</x:v>
      </x:c>
      <x:c r="F25" s="66" t="str">
        <x:v>Verified 2026-07-27: flutter test task 1-30 focused groups passed (73 tests).</x:v>
      </x:c>
      <x:c r="G25" s="67" t="str">
        <x:v>Verified complete for tasks 1-30.</x:v>
      </x:c>
      <x:c r="H25" s="59"/>
      <x:c r="I25" s="59"/>
    </x:row>
    <x:row r="26" ht="39.599998474121094" hidden="0" customHeight="1">
      <x:c r="A26" s="65" t="n">
        <x:v>23</x:v>
      </x:c>
      <x:c r="B26" s="66" t="str">
        <x:v>Skincare product ingredient contraindication detection</x:v>
      </x:c>
      <x:c r="C26" s="66" t="str">
        <x:v>PASSED</x:v>
      </x:c>
      <x:c r="D26" s="66" t="str">
        <x:v>Verified against production code and focused task tests after execution slice.</x:v>
      </x:c>
      <x:c r="E26" s="66" t="str">
        <x:v>Skin-care payload validation, safety checks, fallback, sequence, upload, and review persistence paths verified.</x:v>
      </x:c>
      <x:c r="F26" s="66" t="str">
        <x:v>Verified 2026-07-27: flutter test task 1-30 focused groups passed (73 tests).</x:v>
      </x:c>
      <x:c r="G26" s="67" t="str">
        <x:v>Verified complete for tasks 1-30.</x:v>
      </x:c>
      <x:c r="H26" s="59"/>
      <x:c r="I26" s="59"/>
    </x:row>
    <x:row r="27" ht="39.599998474121094" hidden="0" customHeight="1">
      <x:c r="A27" s="65" t="n">
        <x:v>24</x:v>
      </x:c>
      <x:c r="B27" s="66" t="str">
        <x:v>Skincare routine schedule frequency limit enforcement</x:v>
      </x:c>
      <x:c r="C27" s="66" t="str">
        <x:v>PASSED</x:v>
      </x:c>
      <x:c r="D27" s="66" t="str">
        <x:v>Verified against production code and focused task tests after execution slice.</x:v>
      </x:c>
      <x:c r="E27" s="66" t="str">
        <x:v>Skin-care payload validation, safety checks, fallback, sequence, upload, and review persistence paths verified.</x:v>
      </x:c>
      <x:c r="F27" s="66" t="str">
        <x:v>Verified 2026-07-27: flutter test task 1-30 focused groups passed (73 tests).</x:v>
      </x:c>
      <x:c r="G27" s="67" t="str">
        <x:v>Verified complete for tasks 1-30.</x:v>
      </x:c>
      <x:c r="H27" s="59"/>
      <x:c r="I27" s="59"/>
    </x:row>
    <x:row r="28" ht="39.599998474121094" hidden="0" customHeight="1">
      <x:c r="A28" s="65" t="n">
        <x:v>25</x:v>
      </x:c>
      <x:c r="B28" s="66" t="str">
        <x:v>Skincare photo upload signed R2 URL error handling</x:v>
      </x:c>
      <x:c r="C28" s="66" t="str">
        <x:v>PASSED</x:v>
      </x:c>
      <x:c r="D28" s="66" t="str">
        <x:v>Verified against production code and focused task tests after execution slice.</x:v>
      </x:c>
      <x:c r="E28" s="66" t="str">
        <x:v>Skin-care payload validation, safety checks, fallback, sequence, upload, and review persistence paths verified.</x:v>
      </x:c>
      <x:c r="F28" s="66" t="str">
        <x:v>Verified 2026-07-27: flutter test task 1-30 focused groups passed (73 tests).</x:v>
      </x:c>
      <x:c r="G28" s="67" t="str">
        <x:v>Verified complete for tasks 1-30.</x:v>
      </x:c>
      <x:c r="H28" s="59"/>
      <x:c r="I28" s="59"/>
    </x:row>
    <x:row r="29" ht="39.599998474121094" hidden="0" customHeight="1">
      <x:c r="A29" s="65" t="n">
        <x:v>26</x:v>
      </x:c>
      <x:c r="B29" s="66" t="str">
        <x:v>Skincare AI generation fallback when worker service is unavailable</x:v>
      </x:c>
      <x:c r="C29" s="66" t="str">
        <x:v>PASSED</x:v>
      </x:c>
      <x:c r="D29" s="66" t="str">
        <x:v>Verified against production code and focused task tests after execution slice.</x:v>
      </x:c>
      <x:c r="E29" s="66" t="str">
        <x:v>Skin-care payload validation, safety checks, fallback, sequence, upload, and review persistence paths verified.</x:v>
      </x:c>
      <x:c r="F29" s="66" t="str">
        <x:v>Verified 2026-07-27: flutter test task 1-30 focused groups passed (73 tests).</x:v>
      </x:c>
      <x:c r="G29" s="67" t="str">
        <x:v>Verified complete for tasks 1-30.</x:v>
      </x:c>
      <x:c r="H29" s="59"/>
      <x:c r="I29" s="59"/>
    </x:row>
    <x:row r="30" ht="39.599998474121094" hidden="0" customHeight="1">
      <x:c r="A30" s="65" t="n">
        <x:v>27</x:v>
      </x:c>
      <x:c r="B30" s="66" t="str">
        <x:v>Skincare product step sequence validation</x:v>
      </x:c>
      <x:c r="C30" s="66" t="str">
        <x:v>PASSED</x:v>
      </x:c>
      <x:c r="D30" s="66" t="str">
        <x:v>Verified against production code and focused task tests after execution slice.</x:v>
      </x:c>
      <x:c r="E30" s="66" t="str">
        <x:v>Skin-care payload validation, safety checks, fallback, sequence, upload, and review persistence paths verified.</x:v>
      </x:c>
      <x:c r="F30" s="66" t="str">
        <x:v>Verified 2026-07-27: flutter test task 1-30 focused groups passed (73 tests).</x:v>
      </x:c>
      <x:c r="G30" s="67" t="str">
        <x:v>Verified complete for tasks 1-30.</x:v>
      </x:c>
      <x:c r="H30" s="59"/>
      <x:c r="I30" s="59"/>
    </x:row>
    <x:row r="31" ht="39.599998474121094" hidden="0" customHeight="1">
      <x:c r="A31" s="65" t="n">
        <x:v>28</x:v>
      </x:c>
      <x:c r="B31" s="66" t="str">
        <x:v>Skincare user review state persistence before routine commit</x:v>
      </x:c>
      <x:c r="C31" s="66" t="str">
        <x:v>PASSED</x:v>
      </x:c>
      <x:c r="D31" s="66" t="str">
        <x:v>Verified against production code and focused task tests after execution slice.</x:v>
      </x:c>
      <x:c r="E31" s="66" t="str">
        <x:v>Skin-care payload validation, safety checks, fallback, sequence, upload, and review persistence paths verified.</x:v>
      </x:c>
      <x:c r="F31" s="66" t="str">
        <x:v>Verified 2026-07-27: flutter test task 1-30 focused groups passed (73 tests).</x:v>
      </x:c>
      <x:c r="G31" s="67" t="str">
        <x:v>Verified complete for tasks 1-30.</x:v>
      </x:c>
      <x:c r="H31" s="59"/>
      <x:c r="I31" s="59"/>
    </x:row>
    <x:row r="32" ht="39.599998474121094" hidden="0" customHeight="1">
      <x:c r="A32" s="65" t="n">
        <x:v>29</x:v>
      </x:c>
      <x:c r="B32" s="66" t="str">
        <x:v>Meal schedule density and spacing validation</x:v>
      </x:c>
      <x:c r="C32" s="66" t="str">
        <x:v>PASSED</x:v>
      </x:c>
      <x:c r="D32" s="66" t="str">
        <x:v>Verified against production code and focused task tests after execution slice.</x:v>
      </x:c>
      <x:c r="E32" s="66" t="str">
        <x:v>Meal density, spacing, and multi-dish collision paths verified.</x:v>
      </x:c>
      <x:c r="F32" s="66" t="str">
        <x:v>Verified 2026-07-27: flutter test task 1-30 focused groups passed (73 tests).</x:v>
      </x:c>
      <x:c r="G32" s="67" t="str">
        <x:v>Verified complete for tasks 1-30.</x:v>
      </x:c>
      <x:c r="H32" s="59"/>
      <x:c r="I32" s="59"/>
    </x:row>
    <x:row r="33" ht="39.599998474121094" hidden="0" customHeight="1">
      <x:c r="A33" s="65" t="n">
        <x:v>30</x:v>
      </x:c>
      <x:c r="B33" s="66" t="str">
        <x:v>Multi-dish meal timing collision resolution during onboarding</x:v>
      </x:c>
      <x:c r="C33" s="66" t="str">
        <x:v>PASSED</x:v>
      </x:c>
      <x:c r="D33" s="66" t="str">
        <x:v>Verified against production code and focused task tests after execution slice.</x:v>
      </x:c>
      <x:c r="E33" s="66" t="str">
        <x:v>Meal density, spacing, and multi-dish collision paths verified.</x:v>
      </x:c>
      <x:c r="F33" s="66" t="str">
        <x:v>Verified 2026-07-27: flutter test task 1-30 focused groups passed (73 tests).</x:v>
      </x:c>
      <x:c r="G33" s="67" t="str">
        <x:v>Verified complete for tasks 1-30.</x:v>
      </x:c>
      <x:c r="H33" s="59"/>
      <x:c r="I33" s="59"/>
    </x:row>
    <x:row r="34" ht="39.599998474121094" hidden="0" customHeight="1">
      <x:c r="A34" s="65" t="n">
        <x:v>31</x:v>
      </x:c>
      <x:c r="B34" s="66" t="str">
        <x:v>Class timetable overlap detection with routine items</x:v>
      </x:c>
      <x:c r="C34" s="66" t="str">
        <x:v>NOT_VERIFIED</x:v>
      </x:c>
      <x:c r="D34" s="66" t="str">
        <x:v>Claimed in docs/onboarding_stabilization_report.md; not yet independently verified.</x:v>
      </x:c>
      <x:c r="E34" s="66" t="str">
        <x:v>Pending production-path trace and targeted test review.</x:v>
      </x:c>
      <x:c r="F34" s="66" t="str">
        <x:v>Pending targeted, regression, emulator, and device evidence.</x:v>
      </x:c>
      <x:c r="G34" s="67" t="str">
        <x:v>Remain in NOT_VERIFIED until evidence exists.</x:v>
      </x:c>
      <x:c r="H34" s="59"/>
      <x:c r="I34" s="59"/>
    </x:row>
    <x:row r="35" ht="39.599998474121094" hidden="0" customHeight="1">
      <x:c r="A35" s="65" t="n">
        <x:v>32</x:v>
      </x:c>
      <x:c r="B35" s="66" t="str">
        <x:v>Exam schedule priority override during class onboarding import</x:v>
      </x:c>
      <x:c r="C35" s="66" t="str">
        <x:v>NOT_VERIFIED</x:v>
      </x:c>
      <x:c r="D35" s="66" t="str">
        <x:v>Claimed in docs/onboarding_stabilization_report.md; not yet independently verified.</x:v>
      </x:c>
      <x:c r="E35" s="66" t="str">
        <x:v>Pending production-path trace and targeted test review.</x:v>
      </x:c>
      <x:c r="F35" s="66" t="str">
        <x:v>Pending targeted, regression, emulator, and device evidence.</x:v>
      </x:c>
      <x:c r="G35" s="67" t="str">
        <x:v>Remain in NOT_VERIFIED until evidence exists.</x:v>
      </x:c>
      <x:c r="H35" s="59"/>
      <x:c r="I35" s="59"/>
    </x:row>
    <x:row r="36" ht="39.599998474121094" hidden="0" customHeight="1">
      <x:c r="A36" s="65" t="n">
        <x:v>33</x:v>
      </x:c>
      <x:c r="B36" s="66" t="str">
        <x:v>System recovery scaffold trigger conditions on corruption error</x:v>
      </x:c>
      <x:c r="C36" s="66" t="str">
        <x:v>NOT_VERIFIED</x:v>
      </x:c>
      <x:c r="D36" s="66" t="str">
        <x:v>Claimed in docs/onboarding_stabilization_report.md; not yet independently verified.</x:v>
      </x:c>
      <x:c r="E36" s="66" t="str">
        <x:v>Pending production-path trace and targeted test review.</x:v>
      </x:c>
      <x:c r="F36" s="66" t="str">
        <x:v>Pending targeted, regression, emulator, and device evidence.</x:v>
      </x:c>
      <x:c r="G36" s="67" t="str">
        <x:v>Remain in NOT_VERIFIED until evidence exists.</x:v>
      </x:c>
      <x:c r="H36" s="59"/>
      <x:c r="I36" s="59"/>
    </x:row>
    <x:row r="37" ht="39.599998474121094" hidden="0" customHeight="1">
      <x:c r="A37" s="65" t="n">
        <x:v>34</x:v>
      </x:c>
      <x:c r="B37" s="66" t="str">
        <x:v>Recovery action typed error presentation and user messaging</x:v>
      </x:c>
      <x:c r="C37" s="66" t="str">
        <x:v>NOT_VERIFIED</x:v>
      </x:c>
      <x:c r="D37" s="66" t="str">
        <x:v>Claimed in docs/onboarding_stabilization_report.md; not yet independently verified.</x:v>
      </x:c>
      <x:c r="E37" s="66" t="str">
        <x:v>Pending production-path trace and targeted test review.</x:v>
      </x:c>
      <x:c r="F37" s="66" t="str">
        <x:v>Pending targeted, regression, emulator, and device evidence.</x:v>
      </x:c>
      <x:c r="G37" s="67" t="str">
        <x:v>Remain in NOT_VERIFIED until evidence exists.</x:v>
      </x:c>
      <x:c r="H37" s="59"/>
      <x:c r="I37" s="59"/>
    </x:row>
    <x:row r="38" ht="39.599998474121094" hidden="0" customHeight="1">
      <x:c r="A38" s="65" t="n">
        <x:v>35</x:v>
      </x:c>
      <x:c r="B38" s="66" t="str">
        <x:v>Draft profile repair action execution from recovery UI</x:v>
      </x:c>
      <x:c r="C38" s="66" t="str">
        <x:v>NOT_VERIFIED</x:v>
      </x:c>
      <x:c r="D38" s="66" t="str">
        <x:v>Claimed in docs/onboarding_stabilization_report.md; not yet independently verified.</x:v>
      </x:c>
      <x:c r="E38" s="66" t="str">
        <x:v>Pending production-path trace and targeted test review.</x:v>
      </x:c>
      <x:c r="F38" s="66" t="str">
        <x:v>Pending targeted, regression, emulator, and device evidence.</x:v>
      </x:c>
      <x:c r="G38" s="67" t="str">
        <x:v>Remain in NOT_VERIFIED until evidence exists.</x:v>
      </x:c>
      <x:c r="H38" s="59"/>
      <x:c r="I38" s="59"/>
    </x:row>
    <x:row r="39" ht="39.599998474121094" hidden="0" customHeight="1">
      <x:c r="A39" s="65" t="n">
        <x:v>36</x:v>
      </x:c>
      <x:c r="B39" s="66" t="str">
        <x:v>Routine projection state force-resync from recovery UI</x:v>
      </x:c>
      <x:c r="C39" s="66" t="str">
        <x:v>NOT_VERIFIED</x:v>
      </x:c>
      <x:c r="D39" s="66" t="str">
        <x:v>Claimed in docs/onboarding_stabilization_report.md; not yet independently verified.</x:v>
      </x:c>
      <x:c r="E39" s="66" t="str">
        <x:v>Pending production-path trace and targeted test review.</x:v>
      </x:c>
      <x:c r="F39" s="66" t="str">
        <x:v>Pending targeted, regression, emulator, and device evidence.</x:v>
      </x:c>
      <x:c r="G39" s="67" t="str">
        <x:v>Remain in NOT_VERIFIED until evidence exists.</x:v>
      </x:c>
      <x:c r="H39" s="59"/>
      <x:c r="I39" s="59"/>
    </x:row>
    <x:row r="40" ht="39.599998474121094" hidden="0" customHeight="1">
      <x:c r="A40" s="65" t="n">
        <x:v>37</x:v>
      </x:c>
      <x:c r="B40" s="66" t="str">
        <x:v>Local storage cache clearing without loss of unpushed user edits</x:v>
      </x:c>
      <x:c r="C40" s="66" t="str">
        <x:v>NOT_VERIFIED</x:v>
      </x:c>
      <x:c r="D40" s="66" t="str">
        <x:v>Claimed in docs/onboarding_stabilization_report.md; not yet independently verified.</x:v>
      </x:c>
      <x:c r="E40" s="66" t="str">
        <x:v>Pending production-path trace and targeted test review.</x:v>
      </x:c>
      <x:c r="F40" s="66" t="str">
        <x:v>Pending targeted, regression, emulator, and device evidence.</x:v>
      </x:c>
      <x:c r="G40" s="67" t="str">
        <x:v>Remain in NOT_VERIFIED until evidence exists.</x:v>
      </x:c>
      <x:c r="H40" s="59"/>
      <x:c r="I40" s="59"/>
    </x:row>
    <x:row r="41" ht="39.599998474121094" hidden="0" customHeight="1">
      <x:c r="A41" s="65" t="n">
        <x:v>38</x:v>
      </x:c>
      <x:c r="B41" s="66" t="str">
        <x:v>Recovery UI responsive layout on compact mobile devices</x:v>
      </x:c>
      <x:c r="C41" s="66" t="str">
        <x:v>NOT_VERIFIED</x:v>
      </x:c>
      <x:c r="D41" s="66" t="str">
        <x:v>Claimed in docs/onboarding_stabilization_report.md; not yet independently verified.</x:v>
      </x:c>
      <x:c r="E41" s="66" t="str">
        <x:v>Pending production-path trace and targeted test review.</x:v>
      </x:c>
      <x:c r="F41" s="66" t="str">
        <x:v>Pending targeted, regression, emulator, and device evidence.</x:v>
      </x:c>
      <x:c r="G41" s="67" t="str">
        <x:v>Remain in NOT_VERIFIED until evidence exists.</x:v>
      </x:c>
      <x:c r="H41" s="59"/>
      <x:c r="I41" s="59"/>
    </x:row>
    <x:row r="42" ht="39.599998474121094" hidden="0" customHeight="1">
      <x:c r="A42" s="65" t="n">
        <x:v>39</x:v>
      </x:c>
      <x:c r="B42" s="66" t="str">
        <x:v>Recovery action retry rate limiting and exponential backoff</x:v>
      </x:c>
      <x:c r="C42" s="66" t="str">
        <x:v>NOT_VERIFIED</x:v>
      </x:c>
      <x:c r="D42" s="66" t="str">
        <x:v>Claimed in docs/onboarding_stabilization_report.md; not yet independently verified.</x:v>
      </x:c>
      <x:c r="E42" s="66" t="str">
        <x:v>Pending production-path trace and targeted test review.</x:v>
      </x:c>
      <x:c r="F42" s="66" t="str">
        <x:v>Pending targeted, regression, emulator, and device evidence.</x:v>
      </x:c>
      <x:c r="G42" s="67" t="str">
        <x:v>Remain in NOT_VERIFIED until evidence exists.</x:v>
      </x:c>
      <x:c r="H42" s="59"/>
      <x:c r="I42" s="59"/>
    </x:row>
    <x:row r="43" ht="39.599998474121094" hidden="0" customHeight="1">
      <x:c r="A43" s="65" t="n">
        <x:v>40</x:v>
      </x:c>
      <x:c r="B43" s="66" t="str">
        <x:v>Recovery screen navigation lock preventing unverified app entry</x:v>
      </x:c>
      <x:c r="C43" s="66" t="str">
        <x:v>NOT_VERIFIED</x:v>
      </x:c>
      <x:c r="D43" s="66" t="str">
        <x:v>Claimed in docs/onboarding_stabilization_report.md; not yet independently verified.</x:v>
      </x:c>
      <x:c r="E43" s="66" t="str">
        <x:v>Pending production-path trace and targeted test review.</x:v>
      </x:c>
      <x:c r="F43" s="66" t="str">
        <x:v>Pending targeted, regression, emulator, and device evidence.</x:v>
      </x:c>
      <x:c r="G43" s="67" t="str">
        <x:v>Remain in NOT_VERIFIED until evidence exists.</x:v>
      </x:c>
      <x:c r="H43" s="59"/>
      <x:c r="I43" s="59"/>
    </x:row>
    <x:row r="44" ht="39.599998474121094" hidden="0" customHeight="1">
      <x:c r="A44" s="65" t="n">
        <x:v>41</x:v>
      </x:c>
      <x:c r="B44" s="66" t="str">
        <x:v>Diagnostic bundle generation for user support export</x:v>
      </x:c>
      <x:c r="C44" s="66" t="str">
        <x:v>NOT_VERIFIED</x:v>
      </x:c>
      <x:c r="D44" s="66" t="str">
        <x:v>Claimed in docs/onboarding_stabilization_report.md; not yet independently verified.</x:v>
      </x:c>
      <x:c r="E44" s="66" t="str">
        <x:v>Pending production-path trace and targeted test review.</x:v>
      </x:c>
      <x:c r="F44" s="66" t="str">
        <x:v>Pending targeted, regression, emulator, and device evidence.</x:v>
      </x:c>
      <x:c r="G44" s="67" t="str">
        <x:v>Remain in NOT_VERIFIED until evidence exists.</x:v>
      </x:c>
      <x:c r="H44" s="59"/>
      <x:c r="I44" s="59"/>
    </x:row>
    <x:row r="45" ht="52.79999923706055" hidden="0" customHeight="1">
      <x:c r="A45" s="65" t="n">
        <x:v>42</x:v>
      </x:c>
      <x:c r="B45" s="66" t="str">
        <x:v>Partial failure status banner rendering on recovery dashboard</x:v>
      </x:c>
      <x:c r="C45" s="66" t="str">
        <x:v>FAILED</x:v>
      </x:c>
      <x:c r="D45" s="66" t="str">
        <x:v>OnboardingRecoveryScreen passes hard-coded stageStatuses, currentStage, projectedItemCount, and failedItemCount into PartialFailureStatusBanner.</x:v>
      </x:c>
      <x:c r="E45" s="66" t="str">
        <x:v>lib/features/recovery/screens/onboarding_recovery_screen.dart:127</x:v>
      </x:c>
      <x:c r="F45" s="66" t="str">
        <x:v>Existing tests only prove the hard-coded banner renders; they do not prove real job-backed progress.</x:v>
      </x:c>
      <x:c r="G45" s="67" t="str">
        <x:v>Failed recovery honesty requirement.</x:v>
      </x:c>
      <x:c r="H45" s="59"/>
      <x:c r="I45" s="59"/>
    </x:row>
    <x:row r="46" ht="39.599998474121094" hidden="0" customHeight="1">
      <x:c r="A46" s="65" t="n">
        <x:v>43</x:v>
      </x:c>
      <x:c r="B46" s="66" t="str">
        <x:v>Back button overlap with header text on small viewports</x:v>
      </x:c>
      <x:c r="C46" s="66" t="str">
        <x:v>NOT_VERIFIED</x:v>
      </x:c>
      <x:c r="D46" s="66" t="str">
        <x:v>Claimed in docs/onboarding_stabilization_report.md; not yet independently verified.</x:v>
      </x:c>
      <x:c r="E46" s="66" t="str">
        <x:v>Pending production-path trace and targeted test review.</x:v>
      </x:c>
      <x:c r="F46" s="66" t="str">
        <x:v>Pending targeted, regression, emulator, and device evidence.</x:v>
      </x:c>
      <x:c r="G46" s="67" t="str">
        <x:v>Remain in NOT_VERIFIED until evidence exists.</x:v>
      </x:c>
      <x:c r="H46" s="59"/>
      <x:c r="I46" s="59"/>
    </x:row>
    <x:row r="47" ht="39.599998474121094" hidden="0" customHeight="1">
      <x:c r="A47" s="65" t="n">
        <x:v>44</x:v>
      </x:c>
      <x:c r="B47" s="66" t="str">
        <x:v>Onboarding timeline card vertical spacing alignment</x:v>
      </x:c>
      <x:c r="C47" s="66" t="str">
        <x:v>NOT_VERIFIED</x:v>
      </x:c>
      <x:c r="D47" s="66" t="str">
        <x:v>Claimed in docs/onboarding_stabilization_report.md; not yet independently verified.</x:v>
      </x:c>
      <x:c r="E47" s="66" t="str">
        <x:v>Pending production-path trace and targeted test review.</x:v>
      </x:c>
      <x:c r="F47" s="66" t="str">
        <x:v>Pending targeted, regression, emulator, and device evidence.</x:v>
      </x:c>
      <x:c r="G47" s="67" t="str">
        <x:v>Remain in NOT_VERIFIED until evidence exists.</x:v>
      </x:c>
      <x:c r="H47" s="59"/>
      <x:c r="I47" s="59"/>
    </x:row>
    <x:row r="48" ht="39.599998474121094" hidden="0" customHeight="1">
      <x:c r="A48" s="65" t="n">
        <x:v>45</x:v>
      </x:c>
      <x:c r="B48" s="66" t="str">
        <x:v>Dynamic font scaling overflow on onboarding option pills</x:v>
      </x:c>
      <x:c r="C48" s="66" t="str">
        <x:v>NOT_VERIFIED</x:v>
      </x:c>
      <x:c r="D48" s="66" t="str">
        <x:v>Claimed in docs/onboarding_stabilization_report.md; not yet independently verified.</x:v>
      </x:c>
      <x:c r="E48" s="66" t="str">
        <x:v>Pending production-path trace and targeted test review.</x:v>
      </x:c>
      <x:c r="F48" s="66" t="str">
        <x:v>Pending targeted, regression, emulator, and device evidence.</x:v>
      </x:c>
      <x:c r="G48" s="67" t="str">
        <x:v>Remain in NOT_VERIFIED until evidence exists.</x:v>
      </x:c>
      <x:c r="H48" s="59"/>
      <x:c r="I48" s="59"/>
    </x:row>
    <x:row r="49" ht="39.599998474121094" hidden="0" customHeight="1">
      <x:c r="A49" s="65" t="n">
        <x:v>46</x:v>
      </x:c>
      <x:c r="B49" s="66" t="str">
        <x:v>Step indicator active progress animations smooth transition</x:v>
      </x:c>
      <x:c r="C49" s="66" t="str">
        <x:v>NOT_VERIFIED</x:v>
      </x:c>
      <x:c r="D49" s="66" t="str">
        <x:v>Claimed in docs/onboarding_stabilization_report.md; not yet independently verified.</x:v>
      </x:c>
      <x:c r="E49" s="66" t="str">
        <x:v>Pending production-path trace and targeted test review.</x:v>
      </x:c>
      <x:c r="F49" s="66" t="str">
        <x:v>Pending targeted, regression, emulator, and device evidence.</x:v>
      </x:c>
      <x:c r="G49" s="67" t="str">
        <x:v>Remain in NOT_VERIFIED until evidence exists.</x:v>
      </x:c>
      <x:c r="H49" s="59"/>
      <x:c r="I49" s="59"/>
    </x:row>
    <x:row r="50" ht="39.599998474121094" hidden="0" customHeight="1">
      <x:c r="A50" s="65" t="n">
        <x:v>47</x:v>
      </x:c>
      <x:c r="B50" s="66" t="str">
        <x:v>Dark mode color token consistency across onboarding screens</x:v>
      </x:c>
      <x:c r="C50" s="66" t="str">
        <x:v>NOT_VERIFIED</x:v>
      </x:c>
      <x:c r="D50" s="66" t="str">
        <x:v>Claimed in docs/onboarding_stabilization_report.md; not yet independently verified.</x:v>
      </x:c>
      <x:c r="E50" s="66" t="str">
        <x:v>Pending production-path trace and targeted test review.</x:v>
      </x:c>
      <x:c r="F50" s="66" t="str">
        <x:v>Pending targeted, regression, emulator, and device evidence.</x:v>
      </x:c>
      <x:c r="G50" s="67" t="str">
        <x:v>Remain in NOT_VERIFIED until evidence exists.</x:v>
      </x:c>
      <x:c r="H50" s="59"/>
      <x:c r="I50" s="59"/>
    </x:row>
    <x:row r="51" ht="39.599998474121094" hidden="0" customHeight="1">
      <x:c r="A51" s="65" t="n">
        <x:v>48</x:v>
      </x:c>
      <x:c r="B51" s="66" t="str">
        <x:v>Soft keyboard input field occlusion on step 4 &amp; step 5</x:v>
      </x:c>
      <x:c r="C51" s="66" t="str">
        <x:v>NOT_VERIFIED</x:v>
      </x:c>
      <x:c r="D51" s="66" t="str">
        <x:v>Claimed in docs/onboarding_stabilization_report.md; not yet independently verified.</x:v>
      </x:c>
      <x:c r="E51" s="66" t="str">
        <x:v>Pending production-path trace and targeted test review.</x:v>
      </x:c>
      <x:c r="F51" s="66" t="str">
        <x:v>Pending targeted, regression, emulator, and device evidence.</x:v>
      </x:c>
      <x:c r="G51" s="67" t="str">
        <x:v>Remain in NOT_VERIFIED until evidence exists.</x:v>
      </x:c>
      <x:c r="H51" s="59"/>
      <x:c r="I51" s="59"/>
    </x:row>
    <x:row r="52" ht="39.599998474121094" hidden="0" customHeight="1">
      <x:c r="A52" s="65" t="n">
        <x:v>49</x:v>
      </x:c>
      <x:c r="B52" s="66" t="str">
        <x:v>Loading state shimmer layout shift prevention</x:v>
      </x:c>
      <x:c r="C52" s="66" t="str">
        <x:v>NOT_VERIFIED</x:v>
      </x:c>
      <x:c r="D52" s="66" t="str">
        <x:v>Claimed in docs/onboarding_stabilization_report.md; not yet independently verified.</x:v>
      </x:c>
      <x:c r="E52" s="66" t="str">
        <x:v>Pending production-path trace and targeted test review.</x:v>
      </x:c>
      <x:c r="F52" s="66" t="str">
        <x:v>Pending targeted, regression, emulator, and device evidence.</x:v>
      </x:c>
      <x:c r="G52" s="67" t="str">
        <x:v>Remain in NOT_VERIFIED until evidence exists.</x:v>
      </x:c>
      <x:c r="H52" s="59"/>
      <x:c r="I52" s="59"/>
    </x:row>
    <x:row r="53" ht="39.599998474121094" hidden="0" customHeight="1">
      <x:c r="A53" s="65" t="n">
        <x:v>50</x:v>
      </x:c>
      <x:c r="B53" s="66" t="str">
        <x:v>Primary button disabled visual state contrast ratio compliance</x:v>
      </x:c>
      <x:c r="C53" s="66" t="str">
        <x:v>NOT_VERIFIED</x:v>
      </x:c>
      <x:c r="D53" s="66" t="str">
        <x:v>Claimed in docs/onboarding_stabilization_report.md; not yet independently verified.</x:v>
      </x:c>
      <x:c r="E53" s="66" t="str">
        <x:v>Pending production-path trace and targeted test review.</x:v>
      </x:c>
      <x:c r="F53" s="66" t="str">
        <x:v>Pending targeted, regression, emulator, and device evidence.</x:v>
      </x:c>
      <x:c r="G53" s="67" t="str">
        <x:v>Remain in NOT_VERIFIED until evidence exists.</x:v>
      </x:c>
      <x:c r="H53" s="59"/>
      <x:c r="I53" s="59"/>
    </x:row>
    <x:row r="54" ht="39.599998474121094" hidden="0" customHeight="1">
      <x:c r="A54" s="65" t="n">
        <x:v>51</x:v>
      </x:c>
      <x:c r="B54" s="66" t="str">
        <x:v>Onboarding stage summary screen layout clipping on landscape</x:v>
      </x:c>
      <x:c r="C54" s="66" t="str">
        <x:v>NOT_VERIFIED</x:v>
      </x:c>
      <x:c r="D54" s="66" t="str">
        <x:v>Claimed in docs/onboarding_stabilization_report.md; not yet independently verified.</x:v>
      </x:c>
      <x:c r="E54" s="66" t="str">
        <x:v>Pending production-path trace and targeted test review.</x:v>
      </x:c>
      <x:c r="F54" s="66" t="str">
        <x:v>Pending targeted, regression, emulator, and device evidence.</x:v>
      </x:c>
      <x:c r="G54" s="67" t="str">
        <x:v>Remain in NOT_VERIFIED until evidence exists.</x:v>
      </x:c>
      <x:c r="H54" s="59"/>
      <x:c r="I54" s="59"/>
    </x:row>
    <x:row r="55" ht="39.599998474121094" hidden="0" customHeight="1">
      <x:c r="A55" s="65" t="n">
        <x:v>52</x:v>
      </x:c>
      <x:c r="B55" s="66" t="str">
        <x:v>Toast error notification stack overlap prevention</x:v>
      </x:c>
      <x:c r="C55" s="66" t="str">
        <x:v>NOT_VERIFIED</x:v>
      </x:c>
      <x:c r="D55" s="66" t="str">
        <x:v>Claimed in docs/onboarding_stabilization_report.md; not yet independently verified.</x:v>
      </x:c>
      <x:c r="E55" s="66" t="str">
        <x:v>Pending production-path trace and targeted test review.</x:v>
      </x:c>
      <x:c r="F55" s="66" t="str">
        <x:v>Pending targeted, regression, emulator, and device evidence.</x:v>
      </x:c>
      <x:c r="G55" s="67" t="str">
        <x:v>Remain in NOT_VERIFIED until evidence exists.</x:v>
      </x:c>
      <x:c r="H55" s="59"/>
      <x:c r="I55" s="59"/>
    </x:row>
    <x:row r="56" ht="39.599998474121094" hidden="0" customHeight="1">
      <x:c r="A56" s="65" t="n">
        <x:v>53</x:v>
      </x:c>
      <x:c r="B56" s="66" t="str">
        <x:v>Scroll physics consistency across iOS and Android viewports</x:v>
      </x:c>
      <x:c r="C56" s="66" t="str">
        <x:v>NOT_VERIFIED</x:v>
      </x:c>
      <x:c r="D56" s="66" t="str">
        <x:v>Claimed in docs/onboarding_stabilization_report.md; not yet independently verified.</x:v>
      </x:c>
      <x:c r="E56" s="66" t="str">
        <x:v>Pending production-path trace and targeted test review.</x:v>
      </x:c>
      <x:c r="F56" s="66" t="str">
        <x:v>Pending targeted, regression, emulator, and device evidence.</x:v>
      </x:c>
      <x:c r="G56" s="67" t="str">
        <x:v>Remain in NOT_VERIFIED until evidence exists.</x:v>
      </x:c>
      <x:c r="H56" s="59"/>
      <x:c r="I56" s="59"/>
    </x:row>
    <x:row r="57" ht="26.399999618530273" hidden="0" customHeight="1">
      <x:c r="A57" s="65" t="n">
        <x:v>54</x:v>
      </x:c>
      <x:c r="B57" s="66" t="str">
        <x:v>Screen transition gesture navigation handling during inputs</x:v>
      </x:c>
      <x:c r="C57" s="66" t="str">
        <x:v>FAILED</x:v>
      </x:c>
      <x:c r="D57" s="66" t="str">
        <x:v>Navigation behavior did not match expectations in group_i_adversarial_test.</x:v>
      </x:c>
      <x:c r="E57" s="66" t="str">
        <x:v>test/group_i_adversarial_test.dart:386 and test/group_i_adversarial_test.dart:444</x:v>
      </x:c>
      <x:c r="F57" s="66" t="str">
        <x:v>flutter test observed failures for dirty-step and clean-step pop gesture behavior.</x:v>
      </x:c>
      <x:c r="G57" s="67" t="str">
        <x:v>Failed until navigation tests pass and runtime behavior is rechecked.</x:v>
      </x:c>
      <x:c r="H57" s="59"/>
      <x:c r="I57" s="59"/>
    </x:row>
    <x:row r="58" ht="39.599998474121094" hidden="0" customHeight="1">
      <x:c r="A58" s="65" t="n">
        <x:v>55</x:v>
      </x:c>
      <x:c r="B58" s="66" t="str">
        <x:v>Accessibility semantics labels on custom timeline widgets</x:v>
      </x:c>
      <x:c r="C58" s="66" t="str">
        <x:v>FAILED</x:v>
      </x:c>
      <x:c r="D58" s="66" t="str">
        <x:v>OnboardingDayChips returned zero expected semantics nodes and OnboardingVerticalTimeline semantics assertion failed.</x:v>
      </x:c>
      <x:c r="E58" s="66" t="str">
        <x:v>test/group_i_layout_stress_test.dart:280 and test/group_i_layout_stress_test.dart:359</x:v>
      </x:c>
      <x:c r="F58" s="66" t="str">
        <x:v>flutter test observed failures in group_i_layout_stress_test.</x:v>
      </x:c>
      <x:c r="G58" s="67" t="str">
        <x:v>Failed until semantics regressions are repaired.</x:v>
      </x:c>
      <x:c r="H58" s="59"/>
      <x:c r="I58" s="59"/>
    </x:row>
    <x:row r="59" ht="39.599998474121094" hidden="0" customHeight="1">
      <x:c r="A59" s="65" t="n">
        <x:v>56</x:v>
      </x:c>
      <x:c r="B59" s="66" t="str">
        <x:v>Client-side PII redactor filter for log outputs</x:v>
      </x:c>
      <x:c r="C59" s="66" t="str">
        <x:v>NOT_VERIFIED</x:v>
      </x:c>
      <x:c r="D59" s="66" t="str">
        <x:v>Claimed in docs/onboarding_stabilization_report.md; not yet independently verified.</x:v>
      </x:c>
      <x:c r="E59" s="66" t="str">
        <x:v>Pending production-path trace and targeted test review.</x:v>
      </x:c>
      <x:c r="F59" s="66" t="str">
        <x:v>Pending targeted, regression, emulator, and device evidence.</x:v>
      </x:c>
      <x:c r="G59" s="67" t="str">
        <x:v>Remain in NOT_VERIFIED until evidence exists.</x:v>
      </x:c>
      <x:c r="H59" s="59"/>
      <x:c r="I59" s="59"/>
    </x:row>
    <x:row r="60" ht="39.599998474121094" hidden="0" customHeight="1">
      <x:c r="A60" s="65" t="n">
        <x:v>57</x:v>
      </x:c>
      <x:c r="B60" s="66" t="str">
        <x:v>Memory leak resolution in timeline controller event listeners</x:v>
      </x:c>
      <x:c r="C60" s="66" t="str">
        <x:v>NOT_VERIFIED</x:v>
      </x:c>
      <x:c r="D60" s="66" t="str">
        <x:v>Claimed in docs/onboarding_stabilization_report.md; not yet independently verified.</x:v>
      </x:c>
      <x:c r="E60" s="66" t="str">
        <x:v>Pending production-path trace and targeted test review.</x:v>
      </x:c>
      <x:c r="F60" s="66" t="str">
        <x:v>Pending targeted, regression, emulator, and device evidence.</x:v>
      </x:c>
      <x:c r="G60" s="67" t="str">
        <x:v>Remain in NOT_VERIFIED until evidence exists.</x:v>
      </x:c>
      <x:c r="H60" s="59"/>
      <x:c r="I60" s="59"/>
    </x:row>
    <x:row r="61" ht="39.599998474121094" hidden="0" customHeight="1">
      <x:c r="A61" s="65" t="n">
        <x:v>58</x:v>
      </x:c>
      <x:c r="B61" s="66" t="str">
        <x:v>Cold boot splash image caching</x:v>
      </x:c>
      <x:c r="C61" s="66" t="str">
        <x:v>NOT_VERIFIED</x:v>
      </x:c>
      <x:c r="D61" s="66" t="str">
        <x:v>Claimed in docs/onboarding_stabilization_report.md; not yet independently verified.</x:v>
      </x:c>
      <x:c r="E61" s="66" t="str">
        <x:v>Pending production-path trace and targeted test review.</x:v>
      </x:c>
      <x:c r="F61" s="66" t="str">
        <x:v>Pending targeted, regression, emulator, and device evidence.</x:v>
      </x:c>
      <x:c r="G61" s="67" t="str">
        <x:v>Remain in NOT_VERIFIED until evidence exists.</x:v>
      </x:c>
      <x:c r="H61" s="59"/>
      <x:c r="I61" s="59"/>
    </x:row>
    <x:row r="62" ht="39.599998474121094" hidden="0" customHeight="1">
      <x:c r="A62" s="65" t="n">
        <x:v>59</x:v>
      </x:c>
      <x:c r="B62" s="66" t="str">
        <x:v>App state serialization debouncing</x:v>
      </x:c>
      <x:c r="C62" s="66" t="str">
        <x:v>NOT_VERIFIED</x:v>
      </x:c>
      <x:c r="D62" s="66" t="str">
        <x:v>Claimed in docs/onboarding_stabilization_report.md; not yet independently verified.</x:v>
      </x:c>
      <x:c r="E62" s="66" t="str">
        <x:v>Pending production-path trace and targeted test review.</x:v>
      </x:c>
      <x:c r="F62" s="66" t="str">
        <x:v>Pending targeted, regression, emulator, and device evidence.</x:v>
      </x:c>
      <x:c r="G62" s="67" t="str">
        <x:v>Remain in NOT_VERIFIED until evidence exists.</x:v>
      </x:c>
      <x:c r="H62" s="59"/>
      <x:c r="I62" s="59"/>
    </x:row>
    <x:row r="63" ht="39.599998474121094" hidden="0" customHeight="1">
      <x:c r="A63" s="65" t="n">
        <x:v>60</x:v>
      </x:c>
      <x:c r="B63" s="66" t="str">
        <x:v>System wake lock release in background sync</x:v>
      </x:c>
      <x:c r="C63" s="66" t="str">
        <x:v>NOT_VERIFIED</x:v>
      </x:c>
      <x:c r="D63" s="66" t="str">
        <x:v>Claimed in docs/onboarding_stabilization_report.md; not yet independently verified.</x:v>
      </x:c>
      <x:c r="E63" s="66" t="str">
        <x:v>Pending production-path trace and targeted test review.</x:v>
      </x:c>
      <x:c r="F63" s="66" t="str">
        <x:v>Pending targeted, regression, emulator, and device evidence.</x:v>
      </x:c>
      <x:c r="G63" s="67" t="str">
        <x:v>Remain in NOT_VERIFIED until evidence exists.</x:v>
      </x:c>
      <x:c r="H63" s="59"/>
      <x:c r="I63" s="59"/>
    </x:row>
    <x:row r="64" ht="39.599998474121094" hidden="0" customHeight="1">
      <x:c r="A64" s="65" t="n">
        <x:v>61</x:v>
      </x:c>
      <x:c r="B64" s="66" t="str">
        <x:v>iOS platform channel async error boundary safety</x:v>
      </x:c>
      <x:c r="C64" s="66" t="str">
        <x:v>NOT_VERIFIED</x:v>
      </x:c>
      <x:c r="D64" s="66" t="str">
        <x:v>Claimed in docs/onboarding_stabilization_report.md; not yet independently verified.</x:v>
      </x:c>
      <x:c r="E64" s="66" t="str">
        <x:v>Pending production-path trace and targeted test review.</x:v>
      </x:c>
      <x:c r="F64" s="66" t="str">
        <x:v>Pending targeted, regression, emulator, and device evidence.</x:v>
      </x:c>
      <x:c r="G64" s="67" t="str">
        <x:v>Remain in NOT_VERIFIED until evidence exists.</x:v>
      </x:c>
      <x:c r="H64" s="59"/>
      <x:c r="I64" s="59"/>
    </x:row>
    <x:row r="65" ht="39.599998474121094" hidden="0" customHeight="1">
      <x:c r="A65" s="65" t="n">
        <x:v>62</x:v>
      </x:c>
      <x:c r="B65" s="66" t="str">
        <x:v>Android background notification click intent payload recovery</x:v>
      </x:c>
      <x:c r="C65" s="66" t="str">
        <x:v>NOT_VERIFIED</x:v>
      </x:c>
      <x:c r="D65" s="66" t="str">
        <x:v>Claimed in docs/onboarding_stabilization_report.md; not yet independently verified.</x:v>
      </x:c>
      <x:c r="E65" s="66" t="str">
        <x:v>Pending production-path trace and targeted test review.</x:v>
      </x:c>
      <x:c r="F65" s="66" t="str">
        <x:v>Pending targeted, regression, emulator, and device evidence.</x:v>
      </x:c>
      <x:c r="G65" s="67" t="str">
        <x:v>Remain in NOT_VERIFIED until evidence exists.</x:v>
      </x:c>
      <x:c r="H65" s="59"/>
      <x:c r="I65" s="59"/>
    </x:row>
    <x:row r="66" ht="66" hidden="0" customHeight="1">
      <x:c r="A66" s="65" t="n">
        <x:v>63</x:v>
      </x:c>
      <x:c r="B66" s="66" t="str">
        <x:v>Full onboarding end-to-end flow integration test suite</x:v>
      </x:c>
      <x:c r="C66" s="66" t="str">
        <x:v>FAILED</x:v>
      </x:c>
      <x:c r="D66" s="66" t="str">
        <x:v>Current tests are not a green full-onboarding release gate.</x:v>
      </x:c>
      <x:c r="E66" s="66" t="str">
        <x:v>flutter test partial result: 03:03 +795 -12, then Some tests failed.</x:v>
      </x:c>
      <x:c r="F66" s="66" t="str">
        <x:v>Failures included group_i_adversarial_test, group_i_layout_stress_test, onboarding_step4_timeline_layout_test pending timers, and group_d_adversarial_stress_test did not complete.</x:v>
      </x:c>
      <x:c r="G66" s="67" t="str">
        <x:v>Failed baseline automation gate.</x:v>
      </x:c>
      <x:c r="H66" s="59"/>
      <x:c r="I66" s="59"/>
    </x:row>
    <x:row r="67" ht="39.599998474121094" hidden="0" customHeight="1">
      <x:c r="A67" s="65" t="n">
        <x:v>64</x:v>
      </x:c>
      <x:c r="B67" s="66" t="str">
        <x:v>Network disconnection and offline queue persistence test</x:v>
      </x:c>
      <x:c r="C67" s="66" t="str">
        <x:v>NOT_VERIFIED</x:v>
      </x:c>
      <x:c r="D67" s="66" t="str">
        <x:v>Claimed in docs/onboarding_stabilization_report.md; not yet independently verified.</x:v>
      </x:c>
      <x:c r="E67" s="66" t="str">
        <x:v>Pending production-path trace and targeted test review.</x:v>
      </x:c>
      <x:c r="F67" s="66" t="str">
        <x:v>Pending targeted, regression, emulator, and device evidence.</x:v>
      </x:c>
      <x:c r="G67" s="67" t="str">
        <x:v>Remain in NOT_VERIFIED until evidence exists.</x:v>
      </x:c>
      <x:c r="H67" s="59"/>
      <x:c r="I67" s="59"/>
    </x:row>
    <x:row r="68" ht="39.599998474121094" hidden="0" customHeight="1">
      <x:c r="A68" s="65" t="n">
        <x:v>65</x:v>
      </x:c>
      <x:c r="B68" s="66" t="str">
        <x:v>User account sign-out and re-authentication regression suite</x:v>
      </x:c>
      <x:c r="C68" s="66" t="str">
        <x:v>NOT_VERIFIED</x:v>
      </x:c>
      <x:c r="D68" s="66" t="str">
        <x:v>Claimed in docs/onboarding_stabilization_report.md; not yet independently verified.</x:v>
      </x:c>
      <x:c r="E68" s="66" t="str">
        <x:v>Pending production-path trace and targeted test review.</x:v>
      </x:c>
      <x:c r="F68" s="66" t="str">
        <x:v>Pending targeted, regression, emulator, and device evidence.</x:v>
      </x:c>
      <x:c r="G68" s="67" t="str">
        <x:v>Remain in NOT_VERIFIED until evidence exists.</x:v>
      </x:c>
      <x:c r="H68" s="59"/>
      <x:c r="I68" s="59"/>
    </x:row>
    <x:row r="69" ht="39.599998474121094" hidden="0" customHeight="1">
      <x:c r="A69" s="65" t="n">
        <x:v>66</x:v>
      </x:c>
      <x:c r="B69" s="66" t="str">
        <x:v>Firestore rules emulator cross-user security access test suite</x:v>
      </x:c>
      <x:c r="C69" s="66" t="str">
        <x:v>BLOCKED</x:v>
      </x:c>
      <x:c r="D69" s="66" t="str">
        <x:v>npm test also fails without emulator discovery; firebase emulators:exec exits before tests.</x:v>
      </x:c>
      <x:c r="E69" s="66" t="str">
        <x:v>firebase emulators:exec --only firestore "npm test" -&gt; firebase-tools no longer supports Java version before 21.</x:v>
      </x:c>
      <x:c r="F69" s="66" t="str">
        <x:v>23 rules tests fail when npm test is run without emulator host/port.</x:v>
      </x:c>
      <x:c r="G69" s="67" t="str">
        <x:v>Blocked until JDK 21+ is configured and emulator tests are rerun.</x:v>
      </x:c>
      <x:c r="H69" s="59"/>
      <x:c r="I69" s="59"/>
    </x:row>
    <x:row r="70" ht="39.599998474121094" hidden="0" customHeight="1">
      <x:c r="A70" s="65" t="n">
        <x:v>67</x:v>
      </x:c>
      <x:c r="B70" s="66" t="str">
        <x:v>Cloudflare Worker API error response mapping integration test</x:v>
      </x:c>
      <x:c r="C70" s="66" t="str">
        <x:v>NOT_VERIFIED</x:v>
      </x:c>
      <x:c r="D70" s="66" t="str">
        <x:v>Claimed in docs/onboarding_stabilization_report.md; not yet independently verified.</x:v>
      </x:c>
      <x:c r="E70" s="66" t="str">
        <x:v>Pending production-path trace and targeted test review.</x:v>
      </x:c>
      <x:c r="F70" s="66" t="str">
        <x:v>Pending targeted, regression, emulator, and device evidence.</x:v>
      </x:c>
      <x:c r="G70" s="67" t="str">
        <x:v>Remain in NOT_VERIFIED until evidence exists.</x:v>
      </x:c>
      <x:c r="H70" s="59"/>
      <x:c r="I70" s="59"/>
    </x:row>
    <x:row r="71" ht="39.599998474121094" hidden="0" customHeight="1">
      <x:c r="A71" s="68" t="n">
        <x:v>68</x:v>
      </x:c>
      <x:c r="B71" s="69" t="str">
        <x:v>Multi-device state synchronization and restart recovery test</x:v>
      </x:c>
      <x:c r="C71" s="69" t="str">
        <x:v>NOT_VERIFIED</x:v>
      </x:c>
      <x:c r="D71" s="69" t="str">
        <x:v>Claimed in docs/onboarding_stabilization_report.md; not yet independently verified.</x:v>
      </x:c>
      <x:c r="E71" s="69" t="str">
        <x:v>Pending production-path trace and targeted test review.</x:v>
      </x:c>
      <x:c r="F71" s="69" t="str">
        <x:v>Pending targeted, regression, emulator, and device evidence.</x:v>
      </x:c>
      <x:c r="G71" s="70" t="str">
        <x:v>Remain in NOT_VERIFIED until evidence exists.</x:v>
      </x:c>
      <x:c r="H71" s="59"/>
      <x:c r="I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16" hidden="0" customWidth="1"/>
    <x:col min="4" max="4" width="72" hidden="0" customWidth="1"/>
    <x:col min="5" max="5" width="34" hidden="0" customWidth="1"/>
    <x:col min="6" max="6" width="40" hidden="0" customWidth="1"/>
    <x:col min="7" max="7" width="34" hidden="0" customWidth="1"/>
  </x:cols>
  <x:sheetData>
    <x:row r="1">
      <x:c r="A1" s="58" t="str">
        <x:v>Check</x:v>
      </x:c>
      <x:c r="B1" s="58" t="str">
        <x:v>Result</x:v>
      </x:c>
      <x:c r="C1" s="58" t="str">
        <x:v>Status</x:v>
      </x:c>
      <x:c r="D1" s="58" t="str">
        <x:v>Evidence</x:v>
      </x:c>
      <x:c r="E1" s="58"/>
      <x:c r="F1" s="58"/>
      <x:c r="G1" s="58"/>
      <x:c r="H1" s="58"/>
      <x:c r="I1" s="58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</x:row>
    <x:row r="3">
      <x:c r="A3" s="71" t="str">
        <x:v>Repository path</x:v>
      </x:c>
      <x:c r="B3" s="72" t="str">
        <x:v>/Users/roy/optivus2/Optivus</x:v>
      </x:c>
      <x:c r="C3" s="72" t="str">
        <x:v>Recorded</x:v>
      </x:c>
      <x:c r="D3" s="73" t="str">
        <x:v>Confirmed working directory before implementation.</x:v>
      </x:c>
      <x:c r="E3" s="60"/>
      <x:c r="F3" s="60"/>
      <x:c r="G3" s="60"/>
      <x:c r="H3" s="60"/>
      <x:c r="I3" s="60"/>
    </x:row>
    <x:row r="4">
      <x:c r="A4" s="65" t="str">
        <x:v>Git branch</x:v>
      </x:c>
      <x:c r="B4" s="66" t="str">
        <x:v>main</x:v>
      </x:c>
      <x:c r="C4" s="66" t="str">
        <x:v>Recorded</x:v>
      </x:c>
      <x:c r="D4" s="67" t="str">
        <x:v>No modified or untracked files before artifact generation.</x:v>
      </x:c>
      <x:c r="E4" s="59"/>
      <x:c r="F4" s="59"/>
      <x:c r="G4" s="59"/>
      <x:c r="H4" s="59"/>
      <x:c r="I4" s="59"/>
    </x:row>
    <x:row r="5">
      <x:c r="A5" s="65" t="str">
        <x:v>Git commit</x:v>
      </x:c>
      <x:c r="B5" s="66" t="str">
        <x:v>c3e1283ca93d9dfdda53e7adf0acffc3589ed45b</x:v>
      </x:c>
      <x:c r="C5" s="66" t="str">
        <x:v>Recorded</x:v>
      </x:c>
      <x:c r="D5" s="67" t="str">
        <x:v>Current HEAD before audit.</x:v>
      </x:c>
      <x:c r="E5" s="59"/>
      <x:c r="F5" s="59"/>
      <x:c r="G5" s="59"/>
      <x:c r="H5" s="59"/>
      <x:c r="I5" s="59"/>
    </x:row>
    <x:row r="6">
      <x:c r="A6" s="65" t="str">
        <x:v>flutter pub get</x:v>
      </x:c>
      <x:c r="B6" s="66" t="str">
        <x:v>Exit 0</x:v>
      </x:c>
      <x:c r="C6" s="66" t="str">
        <x:v>Passed</x:v>
      </x:c>
      <x:c r="D6" s="67" t="str">
        <x:v>Resolved dependencies; 28 packages newer but constrained.</x:v>
      </x:c>
      <x:c r="E6" s="59"/>
      <x:c r="F6" s="59"/>
      <x:c r="G6" s="59"/>
      <x:c r="H6" s="59"/>
      <x:c r="I6" s="59"/>
    </x:row>
    <x:row r="7">
      <x:c r="A7" s="65" t="str">
        <x:v>dart format --output=none --set-exit-if-changed .</x:v>
      </x:c>
      <x:c r="B7" s="66" t="str">
        <x:v>Exit 1</x:v>
      </x:c>
      <x:c r="C7" s="66" t="str">
        <x:v>Failed</x:v>
      </x:c>
      <x:c r="D7" s="67" t="str">
        <x:v>Would reformat 7 files; working tree remained clean.</x:v>
      </x:c>
      <x:c r="E7" s="59"/>
      <x:c r="F7" s="59"/>
      <x:c r="G7" s="59"/>
      <x:c r="H7" s="59"/>
      <x:c r="I7" s="59"/>
    </x:row>
    <x:row r="8">
      <x:c r="A8" s="65" t="str">
        <x:v>flutter analyze</x:v>
      </x:c>
      <x:c r="B8" s="66" t="str">
        <x:v>Exit 0</x:v>
      </x:c>
      <x:c r="C8" s="66" t="str">
        <x:v>Passed</x:v>
      </x:c>
      <x:c r="D8" s="67" t="str">
        <x:v>No issues found; ran in 6.0s.</x:v>
      </x:c>
      <x:c r="E8" s="59"/>
      <x:c r="F8" s="59"/>
      <x:c r="G8" s="59"/>
      <x:c r="H8" s="59"/>
      <x:c r="I8" s="59"/>
    </x:row>
    <x:row r="9">
      <x:c r="A9" s="65" t="str">
        <x:v>flutter test</x:v>
      </x:c>
      <x:c r="B9" s="66" t="str">
        <x:v>Failed/stalled</x:v>
      </x:c>
      <x:c r="C9" s="66" t="str">
        <x:v>Failed</x:v>
      </x:c>
      <x:c r="D9" s="67" t="str">
        <x:v>Observed 03:03 +795 -12 before interruption after no progress; Some tests failed.</x:v>
      </x:c>
      <x:c r="E9" s="59"/>
      <x:c r="F9" s="59"/>
      <x:c r="G9" s="59"/>
      <x:c r="H9" s="59"/>
      <x:c r="I9" s="59"/>
    </x:row>
    <x:row r="10">
      <x:c r="A10" s="65" t="str">
        <x:v>npm test</x:v>
      </x:c>
      <x:c r="B10" s="66" t="str">
        <x:v>Exit 1</x:v>
      </x:c>
      <x:c r="C10" s="66" t="str">
        <x:v>Failed</x:v>
      </x:c>
      <x:c r="D10" s="67" t="str">
        <x:v>23 Firestore rules tests failed because emulator host/port was not provided.</x:v>
      </x:c>
      <x:c r="E10" s="59"/>
      <x:c r="F10" s="59"/>
      <x:c r="G10" s="59"/>
      <x:c r="H10" s="59"/>
      <x:c r="I10" s="59"/>
    </x:row>
    <x:row r="11">
      <x:c r="A11" s="65" t="str">
        <x:v>firebase emulators:exec --only firestore "npm test"</x:v>
      </x:c>
      <x:c r="B11" s="66" t="str">
        <x:v>Exit 1</x:v>
      </x:c>
      <x:c r="C11" s="66" t="str">
        <x:v>Blocked</x:v>
      </x:c>
      <x:c r="D11" s="67" t="str">
        <x:v>Firebase CLI requires Java 21+; installed java -version is OpenJDK 17.0.19.</x:v>
      </x:c>
      <x:c r="E11" s="59"/>
      <x:c r="F11" s="59"/>
      <x:c r="G11" s="59"/>
      <x:c r="H11" s="59"/>
      <x:c r="I11" s="59"/>
    </x:row>
    <x:row r="12">
      <x:c r="A12" s="65" t="str">
        <x:v>flutter build apk --debug</x:v>
      </x:c>
      <x:c r="B12" s="66" t="str">
        <x:v>Exit 0</x:v>
      </x:c>
      <x:c r="C12" s="66" t="str">
        <x:v>Passed</x:v>
      </x:c>
      <x:c r="D12" s="67" t="str">
        <x:v>Built build/app/outputs/flutter-apk/app-debug.apk; emitted Kotlin Gradle Plugin migration warning.</x:v>
      </x:c>
      <x:c r="E12" s="59"/>
      <x:c r="F12" s="59"/>
      <x:c r="G12" s="59"/>
      <x:c r="H12" s="59"/>
      <x:c r="I12" s="59"/>
    </x:row>
    <x:row r="13">
      <x:c r="A13" s="65" t="str">
        <x:v>flutter build apk --release</x:v>
      </x:c>
      <x:c r="B13" s="66" t="str">
        <x:v>Exit 130 after 445.9s</x:v>
      </x:c>
      <x:c r="C13" s="66" t="str">
        <x:v>Blocked</x:v>
      </x:c>
      <x:c r="D13" s="67" t="str">
        <x:v>Release Gradle task stalled with near-zero activity and was interrupted; Kotlin migration warning also emitted.</x:v>
      </x:c>
      <x:c r="E13" s="59"/>
      <x:c r="F13" s="59"/>
      <x:c r="G13" s="59"/>
      <x:c r="H13" s="59"/>
      <x:c r="I13" s="59"/>
    </x:row>
    <x:row r="14">
      <x:c r="A14" s="68" t="str">
        <x:v>Real-device release gate</x:v>
      </x:c>
      <x:c r="B14" s="69" t="str">
        <x:v>Not run</x:v>
      </x:c>
      <x:c r="C14" s="69" t="str">
        <x:v>Blocked</x:v>
      </x:c>
      <x:c r="D14" s="70" t="str">
        <x:v>No physical Android/iOS runtime execution was performed during this audit pass.</x:v>
      </x:c>
      <x:c r="E14" s="59"/>
      <x:c r="F14" s="59"/>
      <x:c r="G14" s="59"/>
      <x:c r="H14" s="59"/>
      <x:c r="I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4" hidden="0" customWidth="1"/>
    <x:col min="4" max="4" width="48" hidden="0" customWidth="1"/>
    <x:col min="5" max="5" width="80" hidden="0" customWidth="1"/>
    <x:col min="6" max="6" width="40" hidden="0" customWidth="1"/>
    <x:col min="7" max="7" width="34" hidden="0" customWidth="1"/>
  </x:cols>
  <x:sheetData>
    <x:row r="1">
      <x:c r="A1" s="58" t="str">
        <x:v>Priority</x:v>
      </x:c>
      <x:c r="B1" s="58" t="str">
        <x:v>Finding</x:v>
      </x:c>
      <x:c r="C1" s="58" t="str">
        <x:v>Status</x:v>
      </x:c>
      <x:c r="D1" s="58" t="str">
        <x:v>Source</x:v>
      </x:c>
      <x:c r="E1" s="58" t="str">
        <x:v>Why It Matters</x:v>
      </x:c>
      <x:c r="F1" s="58"/>
      <x:c r="G1" s="58"/>
      <x:c r="H1" s="58"/>
      <x:c r="I1" s="58"/>
    </x:row>
    <x:row r="2">
      <x:c r="A2" s="59"/>
      <x:c r="B2" s="59"/>
      <x:c r="C2" s="59"/>
      <x:c r="D2" s="59"/>
      <x:c r="E2" s="59"/>
      <x:c r="F2" s="59"/>
      <x:c r="G2" s="59"/>
      <x:c r="H2" s="59"/>
      <x:c r="I2" s="59"/>
    </x:row>
    <x:row r="3">
      <x:c r="A3" s="71" t="str">
        <x:v>P0</x:v>
      </x:c>
      <x:c r="B3" s="72" t="str">
        <x:v>Route Enter Optivus through one durable orchestrator</x:v>
      </x:c>
      <x:c r="C3" s="72" t="str">
        <x:v>Passed</x:v>
      </x:c>
      <x:c r="D3" s="72" t="str">
        <x:v>lib/features/onboarding/onboarding_flow.dart:343</x:v>
      </x:c>
      <x:c r="E3" s="73" t="str">
        <x:v>Verified 2026-07-27 in focused task 1-30 execution suite.</x:v>
      </x:c>
      <x:c r="F3" s="60"/>
      <x:c r="G3" s="60"/>
      <x:c r="H3" s="60"/>
      <x:c r="I3" s="60"/>
    </x:row>
    <x:row r="4">
      <x:c r="A4" s="65" t="str">
        <x:v>P0</x:v>
      </x:c>
      <x:c r="B4" s="66" t="str">
        <x:v>Resume persisted completion jobs before starting stages</x:v>
      </x:c>
      <x:c r="C4" s="66" t="str">
        <x:v>Passed</x:v>
      </x:c>
      <x:c r="D4" s="66" t="str">
        <x:v>lib/services/onboarding_completion_job_service.dart:44</x:v>
      </x:c>
      <x:c r="E4" s="67" t="str">
        <x:v>Verified 2026-07-27 in focused task 1-30 execution suite.</x:v>
      </x:c>
      <x:c r="F4" s="59"/>
      <x:c r="G4" s="59"/>
      <x:c r="H4" s="59"/>
      <x:c r="I4" s="59"/>
    </x:row>
    <x:row r="5">
      <x:c r="A5" s="65" t="str">
        <x:v>P0</x:v>
      </x:c>
      <x:c r="B5" s="66" t="str">
        <x:v>Make job persistence mandatory in Firebase mode</x:v>
      </x:c>
      <x:c r="C5" s="66" t="str">
        <x:v>Passed</x:v>
      </x:c>
      <x:c r="D5" s="66" t="str">
        <x:v>lib/services/onboarding_completion_job_service.dart:201</x:v>
      </x:c>
      <x:c r="E5" s="67" t="str">
        <x:v>Verified 2026-07-27 in focused task 1-30 execution suite.</x:v>
      </x:c>
      <x:c r="F5" s="59"/>
      <x:c r="G5" s="59"/>
      <x:c r="H5" s="59"/>
      <x:c r="I5" s="59"/>
    </x:row>
    <x:row r="6">
      <x:c r="A6" s="65" t="str">
        <x:v>P0</x:v>
      </x:c>
      <x:c r="B6" s="66" t="str">
        <x:v>Validate existing Routine projection documents</x:v>
      </x:c>
      <x:c r="C6" s="66" t="str">
        <x:v>Passed</x:v>
      </x:c>
      <x:c r="D6" s="66" t="str">
        <x:v>lib/repositories/onboarding_repository.dart:331</x:v>
      </x:c>
      <x:c r="E6" s="67" t="str">
        <x:v>Verified 2026-07-27 in focused task 1-30 execution suite.</x:v>
      </x:c>
      <x:c r="F6" s="59"/>
      <x:c r="G6" s="59"/>
      <x:c r="H6" s="59"/>
      <x:c r="I6" s="59"/>
    </x:row>
    <x:row r="7">
      <x:c r="A7" s="65" t="str">
        <x:v>P0</x:v>
      </x:c>
      <x:c r="B7" s="66" t="str">
        <x:v>Do not mark habit projection complete without dependencies</x:v>
      </x:c>
      <x:c r="C7" s="66" t="str">
        <x:v>Passed</x:v>
      </x:c>
      <x:c r="D7" s="66" t="str">
        <x:v>lib/services/onboarding_completion_job_service.dart:114</x:v>
      </x:c>
      <x:c r="E7" s="67" t="str">
        <x:v>Verified 2026-07-27 in focused task 1-30 execution suite.</x:v>
      </x:c>
      <x:c r="F7" s="59"/>
      <x:c r="G7" s="59"/>
      <x:c r="H7" s="59"/>
      <x:c r="I7" s="59"/>
    </x:row>
    <x:row r="8">
      <x:c r="A8" s="65" t="str">
        <x:v>P0</x:v>
      </x:c>
      <x:c r="B8" s="66" t="str">
        <x:v>Replace fabricated recovery progress</x:v>
      </x:c>
      <x:c r="C8" s="66" t="str">
        <x:v>Failed</x:v>
      </x:c>
      <x:c r="D8" s="66" t="str">
        <x:v>lib/features/recovery/screens/onboarding_recovery_screen.dart:127</x:v>
      </x:c>
      <x:c r="E8" s="67" t="str">
        <x:v>Recovery screen passes hard-coded stage statuses, current stage, projected count, and failed count.</x:v>
      </x:c>
      <x:c r="F8" s="59"/>
      <x:c r="G8" s="59"/>
      <x:c r="H8" s="59"/>
      <x:c r="I8" s="59"/>
    </x:row>
    <x:row r="9">
      <x:c r="A9" s="65" t="str">
        <x:v>P1</x:v>
      </x:c>
      <x:c r="B9" s="66" t="str">
        <x:v>Fix baseline widget regressions</x:v>
      </x:c>
      <x:c r="C9" s="66" t="str">
        <x:v>Failed</x:v>
      </x:c>
      <x:c r="D9" s="66" t="str">
        <x:v>test/group_i_adversarial_test.dart:386</x:v>
      </x:c>
      <x:c r="E9" s="67" t="str">
        <x:v>Full flutter test observed dirty/clean navigation failures, semantics failures, pending timers, and a group_d stress test that did not complete.</x:v>
      </x:c>
      <x:c r="F9" s="59"/>
      <x:c r="G9" s="59"/>
      <x:c r="H9" s="59"/>
      <x:c r="I9" s="59"/>
    </x:row>
    <x:row r="10">
      <x:c r="A10" s="68" t="str">
        <x:v>P1</x:v>
      </x:c>
      <x:c r="B10" s="69" t="str">
        <x:v>Unblock Firestore emulator security evidence</x:v>
      </x:c>
      <x:c r="C10" s="69" t="str">
        <x:v>Blocked</x:v>
      </x:c>
      <x:c r="D10" s="69" t="str">
        <x:v>tests/firestore_rules.test.js:167</x:v>
      </x:c>
      <x:c r="E10" s="70" t="str">
        <x:v>npm test needs emulator host/port, and firebase emulators:exec is blocked by Java 17 versus Firebase CLI's Java 21+ requirement.</x:v>
      </x:c>
      <x:c r="F10" s="59"/>
      <x:c r="G10" s="59"/>
      <x:c r="H10" s="59"/>
      <x:c r="I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</x:row>
  </x:sheetData>
  <x:pageMargins left="0.7" right="0.7" top="0.75" bottom="0.75" header="0.3" footer="0.3"/>
</x:worksheet>
</file>